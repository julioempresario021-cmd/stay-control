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878c45d1b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101b146a19f4269"/>
    <x:sheet xmlns:r="http://schemas.openxmlformats.org/officeDocument/2006/relationships" name="Lista de compras" sheetId="2" r:id="R1116888c31924e10"/>
    <x:sheet xmlns:r="http://schemas.openxmlformats.org/officeDocument/2006/relationships" name="Fontes e segurança" sheetId="3" r:id="R158df7b2f80b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 #,##0.00"/>
    <x:numFmt numFmtId="201" formatCode="0"/>
  </x:numFmts>
  <x:fonts count="8">
    <x:font>
      <x:sz val="11"/>
      <x:name val="Carlito"/>
    </x:font>
    <x:font>
      <x:sz val="10"/>
      <x:color rgb="FF071B36"/>
      <x:name val="Aptos"/>
    </x:font>
    <x:font>
      <x:b/>
      <x:sz val="20"/>
      <x:color rgb="FFFFFFFF"/>
      <x:name val="Aptos"/>
    </x:font>
    <x:font>
      <x:b/>
      <x:sz val="10"/>
      <x:color rgb="FF071B36"/>
      <x:name val="Aptos"/>
    </x:font>
    <x:font>
      <x:b/>
      <x:sz val="10"/>
      <x:color rgb="FFFFFFFF"/>
      <x:name val="Aptos"/>
    </x:font>
    <x:font>
      <x:b/>
      <x:sz val="10"/>
      <x:color rgb="FF7F1D1D"/>
      <x:name val="Aptos"/>
    </x:font>
    <x:font>
      <x:b/>
      <x:sz val="18"/>
      <x:color rgb="FFFFFFFF"/>
      <x:name val="Aptos"/>
    </x:font>
    <x:font>
      <x:b/>
      <x:sz val="10"/>
      <x:color rgb="FF0A66C2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71B36"/>
      </x:patternFill>
    </x:fill>
    <x:fill>
      <x:patternFill patternType="solid">
        <x:fgColor rgb="FF46D7F5"/>
      </x:patternFill>
    </x:fill>
    <x:fill>
      <x:patternFill patternType="solid">
        <x:fgColor rgb="FF0A66C2"/>
      </x:patternFill>
    </x:fill>
    <x:fill>
      <x:patternFill patternType="solid">
        <x:fgColor rgb="FFEAF7F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12">
    <x:border>
      <x:left/>
      <x:right/>
      <x:top/>
      <x:bottom/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 style="medium">
        <x:color rgb="FF071B36"/>
      </x:left>
      <x:right/>
      <x:top style="medium">
        <x:color rgb="FF071B36"/>
      </x:top>
      <x:bottom/>
      <x:diagonal/>
    </x:border>
    <x:border>
      <x:left/>
      <x:right/>
      <x:top style="medium">
        <x:color rgb="FF071B36"/>
      </x:top>
      <x:bottom/>
      <x:diagonal/>
    </x:border>
    <x:border>
      <x:left/>
      <x:right style="medium">
        <x:color rgb="FF071B36"/>
      </x:right>
      <x:top style="medium">
        <x:color rgb="FF071B36"/>
      </x:top>
      <x:bottom/>
      <x:diagonal/>
    </x:border>
    <x:border>
      <x:left style="medium">
        <x:color rgb="FF071B36"/>
      </x:left>
      <x:right/>
      <x:top/>
      <x:bottom/>
      <x:diagonal/>
    </x:border>
    <x:border>
      <x:left/>
      <x:right style="medium">
        <x:color rgb="FF071B36"/>
      </x:right>
      <x:top/>
      <x:bottom/>
      <x:diagonal/>
    </x:border>
    <x:border>
      <x:left style="medium">
        <x:color rgb="FF071B36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 style="thin">
        <x:color rgb="FFCBD5E1"/>
      </x:left>
      <x:right style="medium">
        <x:color rgb="FF071B36"/>
      </x:right>
      <x:top style="thin">
        <x:color rgb="FFCBD5E1"/>
      </x:top>
      <x:bottom style="thin">
        <x:color rgb="FFCBD5E1"/>
      </x:bottom>
      <x:diagonal/>
    </x:border>
    <x:border>
      <x:left style="medium">
        <x:color rgb="FF071B36"/>
      </x:left>
      <x:right/>
      <x:top/>
      <x:bottom style="medium">
        <x:color rgb="FF071B36"/>
      </x:bottom>
      <x:diagonal/>
    </x:border>
    <x:border>
      <x:left/>
      <x:right/>
      <x:top/>
      <x:bottom style="medium">
        <x:color rgb="FF071B36"/>
      </x:bottom>
      <x:diagonal/>
    </x:border>
    <x:border>
      <x:left/>
      <x:right style="medium">
        <x:color rgb="FF071B36"/>
      </x:right>
      <x:top/>
      <x:bottom style="medium">
        <x:color rgb="FF071B36"/>
      </x:bottom>
      <x:diagonal/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0" fontId="1" fillId="6" borderId="0" xfId="0" applyNumberFormat="1" applyFont="1" applyFill="1" applyBorder="1"/>
    <x:xf numFmtId="200" fontId="1" fillId="6" borderId="0" xfId="0" applyNumberFormat="1" applyFont="1" applyFill="1" applyBorder="1"/>
    <x:xf numFmtId="0" fontId="3" fillId="6" borderId="0" xfId="0" applyNumberFormat="1" applyFont="1" applyFill="1" applyBorder="1"/>
    <x:xf numFmtId="200" fontId="3" fillId="6" borderId="0" xfId="0" applyNumberFormat="1" applyFont="1" applyFill="1" applyBorder="1"/>
    <x:xf numFmtId="0" fontId="3" fillId="6" borderId="1" xfId="0" applyNumberFormat="1" applyFont="1" applyFill="1" applyBorder="1"/>
    <x:xf numFmtId="200" fontId="3" fillId="6" borderId="1" xfId="0" applyNumberFormat="1" applyFont="1" applyFill="1" applyBorder="1"/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0" fontId="2" fillId="2" borderId="6" xfId="0" applyNumberFormat="1" applyFont="1" applyFill="1" applyBorder="1" applyAlignment="1">
      <x:alignment horizontal="left" vertical="center"/>
    </x:xf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4" fillId="4" borderId="5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3" fillId="3" borderId="7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 wrapText="1"/>
    </x:xf>
    <x:xf numFmtId="200" fontId="1" fillId="0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7F1D1D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ca15eab824b2a" /><Relationship Type="http://schemas.openxmlformats.org/officeDocument/2006/relationships/theme" Target="/xl/theme/theme1.xml" Id="R6ef02a2ac51f4fcc" /><Relationship Type="http://schemas.openxmlformats.org/officeDocument/2006/relationships/sharedStrings" Target="/xl/sharedStrings.xml" Id="R4a65b8e776bb4e6d" /><Relationship Type="http://schemas.openxmlformats.org/officeDocument/2006/relationships/worksheet" Target="/xl/worksheets/sheet1.xml" Id="Ra101b146a19f4269" /><Relationship Type="http://schemas.openxmlformats.org/officeDocument/2006/relationships/worksheet" Target="/xl/worksheets/sheet2.xml" Id="R1116888c31924e10" /><Relationship Type="http://schemas.openxmlformats.org/officeDocument/2006/relationships/worksheet" Target="/xl/worksheets/sheet3.xml" Id="R158df7b2f80b48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66C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8" hidden="0" customWidth="1"/>
    <x:col min="3" max="3" width="12" hidden="0" customWidth="1"/>
    <x:col min="4" max="4" width="24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>
      <x:c r="A1" s="32" t="str">
        <x:v>STAYCONTROL — PLANO DE COMPRAS</x:v>
      </x:c>
      <x:c r="B1" s="33"/>
      <x:c r="C1" s="33"/>
      <x:c r="D1" s="33"/>
      <x:c r="E1" s="33"/>
      <x:c r="F1" s="33"/>
      <x:c r="G1" s="33"/>
      <x:c r="H1" s="34"/>
      <x:c r="I1" s="1"/>
      <x:c r="J1" s="1"/>
      <x:c r="K1" s="1"/>
      <x:c r="L1" s="1"/>
      <x:c r="M1" s="1"/>
      <x:c r="N1" s="1"/>
      <x:c r="O1" s="1"/>
      <x:c r="P1" s="1"/>
    </x:row>
    <x:row r="2">
      <x:c r="A2" s="35"/>
      <x:c r="B2" s="5"/>
      <x:c r="C2" s="5"/>
      <x:c r="D2" s="5"/>
      <x:c r="E2" s="5"/>
      <x:c r="F2" s="5"/>
      <x:c r="G2" s="5"/>
      <x:c r="H2" s="36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A3" s="37" t="str">
        <x:v>Lista dimensionável para protótipo, quarto e central completa | revisão 12/10/2026</x:v>
      </x:c>
      <x:c r="B3" s="7"/>
      <x:c r="C3" s="7"/>
      <x:c r="D3" s="7"/>
      <x:c r="E3" s="7"/>
      <x:c r="F3" s="7"/>
      <x:c r="G3" s="7"/>
      <x:c r="H3" s="38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A4" s="39"/>
      <x:c r="B4" s="1"/>
      <x:c r="C4" s="1"/>
      <x:c r="D4" s="1"/>
      <x:c r="E4" s="1"/>
      <x:c r="F4" s="1"/>
      <x:c r="G4" s="1"/>
      <x:c r="H4" s="40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A5" s="41" t="str">
        <x:v>PARÂMETRO EDITÁVEL</x:v>
      </x:c>
      <x:c r="B5" s="9"/>
      <x:c r="C5" s="9" t="str">
        <x:v>VALOR</x:v>
      </x:c>
      <x:c r="D5" s="9" t="str">
        <x:v>CENÁRIO</x:v>
      </x:c>
      <x:c r="E5" s="9" t="str">
        <x:v>MÍNIMO</x:v>
      </x:c>
      <x:c r="F5" s="9" t="str">
        <x:v>MÁXIMO</x:v>
      </x:c>
      <x:c r="G5" s="1"/>
      <x:c r="H5" s="40"/>
      <x:c r="I5" s="1"/>
      <x:c r="J5" s="1"/>
      <x:c r="K5" s="1"/>
      <x:c r="L5" s="1"/>
      <x:c r="M5" s="1"/>
      <x:c r="N5" s="1"/>
      <x:c r="O5" s="1"/>
      <x:c r="P5" s="1"/>
    </x:row>
    <x:row r="6" ht="23" customHeight="1">
      <x:c r="A6" s="39" t="str">
        <x:v>Quantidade de quartos</x:v>
      </x:c>
      <x:c r="B6" s="1"/>
      <x:c r="C6" s="12" t="n">
        <x:v>1</x:v>
      </x:c>
      <x:c r="D6" s="1" t="str">
        <x:v>Quarto sem auxiliar</x:v>
      </x:c>
      <x:c r="E6" s="13" t="n">
        <x:f>SUMIFS('Lista de compras'!$L$6:$L$50,'Lista de compras'!$B$6:$B$50,"Quarto")</x:f>
        <x:v>4189</x:v>
      </x:c>
      <x:c r="F6" s="13" t="n">
        <x:f>SUMIFS('Lista de compras'!$M$6:$M$50,'Lista de compras'!$B$6:$B$50,"Quarto")</x:f>
        <x:v>7622</x:v>
      </x:c>
      <x:c r="G6" s="1"/>
      <x:c r="H6" s="40"/>
      <x:c r="I6" s="1"/>
      <x:c r="J6" s="1"/>
      <x:c r="K6" s="1"/>
      <x:c r="L6" s="1"/>
      <x:c r="M6" s="1"/>
      <x:c r="N6" s="1"/>
      <x:c r="O6" s="1"/>
      <x:c r="P6" s="1"/>
    </x:row>
    <x:row r="7" ht="23" customHeight="1">
      <x:c r="A7" s="39" t="str">
        <x:v>Relé auxiliar por quarto (0=não; 1=sim)</x:v>
      </x:c>
      <x:c r="B7" s="1"/>
      <x:c r="C7" s="12" t="n">
        <x:v>1</x:v>
      </x:c>
      <x:c r="D7" s="1" t="str">
        <x:v>Expansão auxiliar</x:v>
      </x:c>
      <x:c r="E7" s="13" t="n">
        <x:f>SUMIFS('Lista de compras'!$L$6:$L$50,'Lista de compras'!$B$6:$B$50,"Auxiliar")</x:f>
        <x:v>78</x:v>
      </x:c>
      <x:c r="F7" s="13" t="n">
        <x:f>SUMIFS('Lista de compras'!$M$6:$M$50,'Lista de compras'!$B$6:$B$50,"Auxiliar")</x:f>
        <x:v>162</x:v>
      </x:c>
      <x:c r="G7" s="1"/>
      <x:c r="H7" s="40"/>
      <x:c r="I7" s="1"/>
      <x:c r="J7" s="1"/>
      <x:c r="K7" s="1"/>
      <x:c r="L7" s="1"/>
      <x:c r="M7" s="1"/>
      <x:c r="N7" s="1"/>
      <x:c r="O7" s="1"/>
      <x:c r="P7" s="1"/>
    </x:row>
    <x:row r="8" ht="23" customHeight="1">
      <x:c r="A8" s="39" t="str">
        <x:v>Implantar rede/central completa (0=não; 1=sim)</x:v>
      </x:c>
      <x:c r="B8" s="1"/>
      <x:c r="C8" s="12" t="n">
        <x:v>1</x:v>
      </x:c>
      <x:c r="D8" s="1" t="str">
        <x:v>Central/rede</x:v>
      </x:c>
      <x:c r="E8" s="13" t="n">
        <x:f>SUMIFS('Lista de compras'!$L$6:$L$50,'Lista de compras'!$B$6:$B$50,"Completa")</x:f>
        <x:v>4630</x:v>
      </x:c>
      <x:c r="F8" s="13" t="n">
        <x:f>SUMIFS('Lista de compras'!$M$6:$M$50,'Lista de compras'!$B$6:$B$50,"Completa")</x:f>
        <x:v>16450</x:v>
      </x:c>
      <x:c r="G8" s="1"/>
      <x:c r="H8" s="40"/>
      <x:c r="I8" s="1"/>
      <x:c r="J8" s="1"/>
      <x:c r="K8" s="1"/>
      <x:c r="L8" s="1"/>
      <x:c r="M8" s="1"/>
      <x:c r="N8" s="1"/>
      <x:c r="O8" s="1"/>
      <x:c r="P8" s="1"/>
    </x:row>
    <x:row r="9" ht="23" customHeight="1">
      <x:c r="A9" s="39"/>
      <x:c r="B9" s="1"/>
      <x:c r="C9" s="1"/>
      <x:c r="D9" s="18" t="str">
        <x:v>Total estimado</x:v>
      </x:c>
      <x:c r="E9" s="19" t="n">
        <x:f>SUM('Lista de compras'!$L$6:$L$50)</x:f>
        <x:v>8897</x:v>
      </x:c>
      <x:c r="F9" s="19" t="n">
        <x:f>SUM('Lista de compras'!$M$6:$M$50)</x:f>
        <x:v>24234</x:v>
      </x:c>
      <x:c r="G9" s="1"/>
      <x:c r="H9" s="40"/>
      <x:c r="I9" s="1"/>
      <x:c r="J9" s="1"/>
      <x:c r="K9" s="1"/>
      <x:c r="L9" s="1"/>
      <x:c r="M9" s="1"/>
      <x:c r="N9" s="1"/>
      <x:c r="O9" s="1"/>
      <x:c r="P9" s="1"/>
    </x:row>
    <x:row r="10" ht="23" customHeight="1">
      <x:c r="A10" s="39"/>
      <x:c r="B10" s="1"/>
      <x:c r="C10" s="1"/>
      <x:c r="D10" s="22" t="str">
        <x:v>Itens a cotar</x:v>
      </x:c>
      <x:c r="E10" s="22" t="n">
        <x:f>COUNTBLANK('Lista de compras'!$J$6:$J$50)</x:f>
        <x:v>7</x:v>
      </x:c>
      <x:c r="F10" s="22" t="str">
        <x:v>dimensionar antes da compra</x:v>
      </x:c>
      <x:c r="G10" s="1"/>
      <x:c r="H10" s="40"/>
      <x:c r="I10" s="1"/>
      <x:c r="J10" s="1"/>
      <x:c r="K10" s="1"/>
      <x:c r="L10" s="1"/>
      <x:c r="M10" s="1"/>
      <x:c r="N10" s="1"/>
      <x:c r="O10" s="1"/>
      <x:c r="P10" s="1"/>
    </x:row>
    <x:row r="11" ht="23" customHeight="1">
      <x:c r="A11" s="39"/>
      <x:c r="B11" s="1"/>
      <x:c r="C11" s="1"/>
      <x:c r="D11" s="1"/>
      <x:c r="E11" s="1"/>
      <x:c r="F11" s="1"/>
      <x:c r="G11" s="1"/>
      <x:c r="H11" s="40"/>
      <x:c r="I11" s="1"/>
      <x:c r="J11" s="1"/>
      <x:c r="K11" s="1"/>
      <x:c r="L11" s="1"/>
      <x:c r="M11" s="1"/>
      <x:c r="N11" s="1"/>
      <x:c r="O11" s="1"/>
      <x:c r="P11" s="1"/>
    </x:row>
    <x:row r="12" ht="23" customHeight="1">
      <x:c r="A12" s="42" t="str">
        <x:v>DECISÕES DE COMPRA</x:v>
      </x:c>
      <x:c r="B12" s="23"/>
      <x:c r="C12" s="23"/>
      <x:c r="D12" s="23"/>
      <x:c r="E12" s="23"/>
      <x:c r="F12" s="23"/>
      <x:c r="G12" s="23"/>
      <x:c r="H12" s="43"/>
      <x:c r="I12" s="1"/>
      <x:c r="J12" s="1"/>
      <x:c r="K12" s="1"/>
      <x:c r="L12" s="1"/>
      <x:c r="M12" s="1"/>
      <x:c r="N12" s="1"/>
      <x:c r="O12" s="1"/>
      <x:c r="P12" s="1"/>
    </x:row>
    <x:row r="13" ht="42" customHeight="1">
      <x:c r="A13" s="44" t="str">
        <x:v>1</x:v>
      </x:c>
      <x:c r="B13" s="27" t="str">
        <x:v>Comece com 1 quarto piloto.</x:v>
      </x:c>
      <x:c r="C13" s="27" t="str">
        <x:v>Compre Raspberry Pi 5 4 GB, tela, Arduino Mega, relé principal, sensor de porta, IR, áudio e RGB.</x:v>
      </x:c>
      <x:c r="D13" s="27"/>
      <x:c r="E13" s="27"/>
      <x:c r="F13" s="27"/>
      <x:c r="G13" s="27"/>
      <x:c r="H13" s="45"/>
      <x:c r="I13" s="1"/>
      <x:c r="J13" s="1"/>
      <x:c r="K13" s="1"/>
      <x:c r="L13" s="1"/>
      <x:c r="M13" s="1"/>
      <x:c r="N13" s="1"/>
      <x:c r="O13" s="1"/>
      <x:c r="P13" s="1"/>
    </x:row>
    <x:row r="14" ht="42" customHeight="1">
      <x:c r="A14" s="44" t="str">
        <x:v>2</x:v>
      </x:c>
      <x:c r="B14" s="27" t="str">
        <x:v>Use a fonte USB-C oficial de 27 W.</x:v>
      </x:c>
      <x:c r="C14" s="27" t="str">
        <x:v>O Raspberry Pi 5 pede 5 V/5 A; fonte menor reduz a energia disponível nas portas USB.</x:v>
      </x:c>
      <x:c r="D14" s="27"/>
      <x:c r="E14" s="27"/>
      <x:c r="F14" s="27"/>
      <x:c r="G14" s="27"/>
      <x:c r="H14" s="45"/>
      <x:c r="I14" s="1"/>
      <x:c r="J14" s="1"/>
      <x:c r="K14" s="1"/>
      <x:c r="L14" s="1"/>
      <x:c r="M14" s="1"/>
      <x:c r="N14" s="1"/>
      <x:c r="O14" s="1"/>
      <x:c r="P14" s="1"/>
    </x:row>
    <x:row r="15" ht="42" customHeight="1">
      <x:c r="A15" s="44" t="str">
        <x:v>3</x:v>
      </x:c>
      <x:c r="B15" s="27" t="str">
        <x:v>O relé auxiliar é opcional.</x:v>
      </x:c>
      <x:c r="C15" s="27" t="str">
        <x:v>A quantidade só entra no orçamento quando C7=1. Ele é destinado a luzes/tomadas extras definidas pelo administrador.</x:v>
      </x:c>
      <x:c r="D15" s="27"/>
      <x:c r="E15" s="27"/>
      <x:c r="F15" s="27"/>
      <x:c r="G15" s="27"/>
      <x:c r="H15" s="45"/>
      <x:c r="I15" s="1"/>
      <x:c r="J15" s="1"/>
      <x:c r="K15" s="1"/>
      <x:c r="L15" s="1"/>
      <x:c r="M15" s="1"/>
      <x:c r="N15" s="1"/>
      <x:c r="O15" s="1"/>
      <x:c r="P15" s="1"/>
    </x:row>
    <x:row r="16" ht="42" customHeight="1">
      <x:c r="A16" s="44" t="str">
        <x:v>4</x:v>
      </x:c>
      <x:c r="B16" s="27" t="str">
        <x:v>Não ligue compressor de ar-condicionado em relé genérico.</x:v>
      </x:c>
      <x:c r="C16" s="27" t="str">
        <x:v>TV e ar-condicionado são comandados por infravermelho. Cargas de rede exigem contator/proteção dimensionados.</x:v>
      </x:c>
      <x:c r="D16" s="27"/>
      <x:c r="E16" s="27"/>
      <x:c r="F16" s="27"/>
      <x:c r="G16" s="27"/>
      <x:c r="H16" s="45"/>
      <x:c r="I16" s="1"/>
      <x:c r="J16" s="1"/>
      <x:c r="K16" s="1"/>
      <x:c r="L16" s="1"/>
      <x:c r="M16" s="1"/>
      <x:c r="N16" s="1"/>
      <x:c r="O16" s="1"/>
      <x:c r="P16" s="1"/>
    </x:row>
    <x:row r="17" ht="42" customHeight="1">
      <x:c r="A17" s="44" t="str">
        <x:v>5</x:v>
      </x:c>
      <x:c r="B17" s="27" t="str">
        <x:v>Separe fontes de áudio e iluminação.</x:v>
      </x:c>
      <x:c r="C17" s="27" t="str">
        <x:v>Isto reduz ruído no som e evita reinicializações quando LEDs ou relés comutam.</x:v>
      </x:c>
      <x:c r="D17" s="27"/>
      <x:c r="E17" s="27"/>
      <x:c r="F17" s="27"/>
      <x:c r="G17" s="27"/>
      <x:c r="H17" s="45"/>
      <x:c r="I17" s="1"/>
      <x:c r="J17" s="1"/>
      <x:c r="K17" s="1"/>
      <x:c r="L17" s="1"/>
      <x:c r="M17" s="1"/>
      <x:c r="N17" s="1"/>
      <x:c r="O17" s="1"/>
      <x:c r="P17" s="1"/>
    </x:row>
    <x:row r="18" ht="42" customHeight="1">
      <x:c r="A18" s="44" t="str">
        <x:v>6</x:v>
      </x:c>
      <x:c r="B18" s="27" t="str">
        <x:v>Preços são referências.</x:v>
      </x:c>
      <x:c r="C18" s="27" t="str">
        <x:v>Frete, disponibilidade e impostos variam. Confirme tensão, corrente e estoque antes de pagar.</x:v>
      </x:c>
      <x:c r="D18" s="27"/>
      <x:c r="E18" s="27"/>
      <x:c r="F18" s="27"/>
      <x:c r="G18" s="27"/>
      <x:c r="H18" s="45"/>
      <x:c r="I18" s="1"/>
      <x:c r="J18" s="1"/>
      <x:c r="K18" s="1"/>
      <x:c r="L18" s="1"/>
      <x:c r="M18" s="1"/>
      <x:c r="N18" s="1"/>
      <x:c r="O18" s="1"/>
      <x:c r="P18" s="1"/>
    </x:row>
    <x:row r="19" ht="23" customHeight="1">
      <x:c r="A19" s="39"/>
      <x:c r="B19" s="1"/>
      <x:c r="C19" s="1"/>
      <x:c r="D19" s="1"/>
      <x:c r="E19" s="1"/>
      <x:c r="F19" s="1"/>
      <x:c r="G19" s="1"/>
      <x:c r="H19" s="40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46" t="str">
        <x:v>A estimativa financeira cobre apenas itens com preço preenchido. Quadro elétrico, disjuntores, DR, DPS, contatores, cabos de potência e mão de obra ficam fora do total até o levantamento de cargas e o projeto de um profissional habilitado.</x:v>
      </x:c>
      <x:c r="B20" s="31"/>
      <x:c r="C20" s="31"/>
      <x:c r="D20" s="31"/>
      <x:c r="E20" s="31"/>
      <x:c r="F20" s="31"/>
      <x:c r="G20" s="31"/>
      <x:c r="H20" s="47"/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46"/>
      <x:c r="B21" s="31"/>
      <x:c r="C21" s="31"/>
      <x:c r="D21" s="31"/>
      <x:c r="E21" s="31"/>
      <x:c r="F21" s="31"/>
      <x:c r="G21" s="31"/>
      <x:c r="H21" s="47"/>
      <x:c r="I21" s="1"/>
      <x:c r="J21" s="1"/>
      <x:c r="K21" s="1"/>
      <x:c r="L21" s="1"/>
      <x:c r="M21" s="1"/>
      <x:c r="N21" s="1"/>
      <x:c r="O21" s="1"/>
      <x:c r="P21" s="1"/>
    </x:row>
    <x:row r="22" ht="23" customHeight="1">
      <x:c r="A22" s="48"/>
      <x:c r="B22" s="49"/>
      <x:c r="C22" s="49"/>
      <x:c r="D22" s="49"/>
      <x:c r="E22" s="49"/>
      <x:c r="F22" s="49"/>
      <x:c r="G22" s="49"/>
      <x:c r="H22" s="50"/>
      <x:c r="I22" s="1"/>
      <x:c r="J22" s="1"/>
      <x:c r="K22" s="1"/>
      <x:c r="L22" s="1"/>
      <x:c r="M22" s="1"/>
      <x:c r="N22" s="1"/>
      <x:c r="O22" s="1"/>
      <x:c r="P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</x:sheetData>
  <x:mergeCells>
    <x:mergeCell ref="A1:H2"/>
    <x:mergeCell ref="A3:H3"/>
    <x:mergeCell ref="A5:B5"/>
    <x:mergeCell ref="A6:B6"/>
    <x:mergeCell ref="A7:B7"/>
    <x:mergeCell ref="A8:B8"/>
    <x:mergeCell ref="A12:H12"/>
    <x:mergeCell ref="C13:H13"/>
    <x:mergeCell ref="C14:H14"/>
    <x:mergeCell ref="C15:H15"/>
    <x:mergeCell ref="C16:H16"/>
    <x:mergeCell ref="C17:H17"/>
    <x:mergeCell ref="C18:H18"/>
    <x:mergeCell ref="A20:H22"/>
  </x:mergeCells>
  <x:dataValidations count="2">
    <x:dataValidation type="whole" operator="between" sqref="C6">
      <x:formula1>1</x:formula1>
      <x:formula2>300</x:formula2>
    </x:dataValidation>
    <x:dataValidation type="whole" operator="between" sqref="C7:C8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6D7F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6" hidden="0" customWidth="1"/>
    <x:col min="4" max="4" width="30" hidden="0" customWidth="1"/>
    <x:col min="5" max="5" width="42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9" hidden="0" customWidth="1"/>
    <x:col min="15" max="15" width="38" hidden="0" customWidth="1"/>
    <x:col min="16" max="16" width="45" hidden="0" customWidth="1"/>
  </x:cols>
  <x:sheetData>
    <x:row r="1">
      <x:c r="A1" s="52" t="str">
        <x:v>LISTA DE COMPRAS — HARDWARE, INSTALAÇÃO E EXPANSÃO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</x:row>
    <x:row r="3">
      <x:c r="A3" s="7" t="str">
        <x:v>Edite somente os três parâmetros na aba Resumo. Quantidades e subtotais desta aba são calculados automaticamente.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8" customHeight="1">
      <x:c r="A5" s="56" t="str">
        <x:v>Código</x:v>
      </x:c>
      <x:c r="B5" s="56" t="str">
        <x:v>Versão</x:v>
      </x:c>
      <x:c r="C5" s="56" t="str">
        <x:v>Categoria</x:v>
      </x:c>
      <x:c r="D5" s="56" t="str">
        <x:v>Peça / serviço</x:v>
      </x:c>
      <x:c r="E5" s="56" t="str">
        <x:v>Especificação mínima</x:v>
      </x:c>
      <x:c r="F5" s="56" t="str">
        <x:v>Qtd. fixa</x:v>
      </x:c>
      <x:c r="G5" s="56" t="str">
        <x:v>Por quarto</x:v>
      </x:c>
      <x:c r="H5" s="56" t="str">
        <x:v>Por auxiliar</x:v>
      </x:c>
      <x:c r="I5" s="56" t="str">
        <x:v>Qtd. total</x:v>
      </x:c>
      <x:c r="J5" s="56" t="str">
        <x:v>Preço mín.</x:v>
      </x:c>
      <x:c r="K5" s="56" t="str">
        <x:v>Preço máx.</x:v>
      </x:c>
      <x:c r="L5" s="56" t="str">
        <x:v>Subtotal mín.</x:v>
      </x:c>
      <x:c r="M5" s="56" t="str">
        <x:v>Subtotal máx.</x:v>
      </x:c>
      <x:c r="N5" s="56" t="str">
        <x:v>Prioridade</x:v>
      </x:c>
      <x:c r="O5" s="56" t="str">
        <x:v>Fonte / consulta</x:v>
      </x:c>
      <x:c r="P5" s="56" t="str">
        <x:v>Observação de compra</x:v>
      </x:c>
    </x:row>
    <x:row r="6" ht="52" customHeight="1">
      <x:c r="A6" s="63" t="str">
        <x:v>Q01</x:v>
      </x:c>
      <x:c r="B6" s="64" t="str">
        <x:v>Quarto</x:v>
      </x:c>
      <x:c r="C6" s="64" t="str">
        <x:v>Computação</x:v>
      </x:c>
      <x:c r="D6" s="64" t="str">
        <x:v>Raspberry Pi 5 4 GB</x:v>
      </x:c>
      <x:c r="E6" s="64" t="str">
        <x:v>BCM2712, Wi‑Fi, Bluetooth 5, Ethernet; versão 4 GB suficiente para o painel</x:v>
      </x:c>
      <x:c r="F6" s="65" t="n">
        <x:v>0</x:v>
      </x:c>
      <x:c r="G6" s="65" t="n">
        <x:v>1</x:v>
      </x:c>
      <x:c r="H6" s="65" t="n">
        <x:v>0</x:v>
      </x:c>
      <x:c r="I6" s="66" t="n">
        <x:f>F6+(G6*Resumo!$C$6)+(H6*Resumo!$C$6*Resumo!$C$7)</x:f>
        <x:v>1</x:v>
      </x:c>
      <x:c r="J6" s="67" t="n">
        <x:v>1496</x:v>
      </x:c>
      <x:c r="K6" s="67" t="n">
        <x:v>1575</x:v>
      </x:c>
      <x:c r="L6" s="67" t="n">
        <x:f>IF(OR(I6=0,J6=""),"",I6*J6)</x:f>
        <x:v>1496</x:v>
      </x:c>
      <x:c r="M6" s="67" t="n">
        <x:f>IF(OR(I6=0,K6=""),"",I6*K6)</x:f>
        <x:v>1575</x:v>
      </x:c>
      <x:c r="N6" s="68" t="str">
        <x:v>Essencial</x:v>
      </x:c>
      <x:c r="O6" s="64" t="str">
        <x:v>https://www.robocore.net/raspberry-pi</x:v>
      </x:c>
      <x:c r="P6" s="64" t="str">
        <x:v>8 GB é alternativa se houver serviços adicionais; não comprar as duas versões.</x:v>
      </x:c>
    </x:row>
    <x:row r="7" ht="52" customHeight="1">
      <x:c r="A7" s="63" t="str">
        <x:v>Q02</x:v>
      </x:c>
      <x:c r="B7" s="64" t="str">
        <x:v>Quarto</x:v>
      </x:c>
      <x:c r="C7" s="64" t="str">
        <x:v>Energia</x:v>
      </x:c>
      <x:c r="D7" s="64" t="str">
        <x:v>Fonte oficial Raspberry Pi USB‑C 27 W</x:v>
      </x:c>
      <x:c r="E7" s="64" t="str">
        <x:v>5,1 V / 5 A, USB‑PD, plugue compatível com o Brasil</x:v>
      </x:c>
      <x:c r="F7" s="65" t="n">
        <x:v>0</x:v>
      </x:c>
      <x:c r="G7" s="65" t="n">
        <x:v>1</x:v>
      </x:c>
      <x:c r="H7" s="65" t="n">
        <x:v>0</x:v>
      </x:c>
      <x:c r="I7" s="66" t="n">
        <x:f>F7+(G7*Resumo!$C$6)+(H7*Resumo!$C$6*Resumo!$C$7)</x:f>
        <x:v>1</x:v>
      </x:c>
      <x:c r="J7" s="67" t="n">
        <x:v>130</x:v>
      </x:c>
      <x:c r="K7" s="67" t="n">
        <x:v>180</x:v>
      </x:c>
      <x:c r="L7" s="67" t="n">
        <x:f>IF(OR(I7=0,J7=""),"",I7*J7)</x:f>
        <x:v>130</x:v>
      </x:c>
      <x:c r="M7" s="67" t="n">
        <x:f>IF(OR(I7=0,K7=""),"",I7*K7)</x:f>
        <x:v>180</x:v>
      </x:c>
      <x:c r="N7" s="68" t="str">
        <x:v>Essencial</x:v>
      </x:c>
      <x:c r="O7" s="64" t="str">
        <x:v>https://www.raspberrypi.com/products/power-supply/</x:v>
      </x:c>
      <x:c r="P7" s="64" t="str">
        <x:v>Evita limitação de corrente USB do Raspberry Pi 5.</x:v>
      </x:c>
    </x:row>
    <x:row r="8" ht="52" customHeight="1">
      <x:c r="A8" s="63" t="str">
        <x:v>Q03</x:v>
      </x:c>
      <x:c r="B8" s="64" t="str">
        <x:v>Quarto</x:v>
      </x:c>
      <x:c r="C8" s="64" t="str">
        <x:v>Mecânica</x:v>
      </x:c>
      <x:c r="D8" s="64" t="str">
        <x:v>Gabinete Raspberry Pi 5 com ventoinha</x:v>
      </x:c>
      <x:c r="E8" s="64" t="str">
        <x:v>Compatível com Pi 5 e acesso aos conectores</x:v>
      </x:c>
      <x:c r="F8" s="65" t="n">
        <x:v>0</x:v>
      </x:c>
      <x:c r="G8" s="65" t="n">
        <x:v>1</x:v>
      </x:c>
      <x:c r="H8" s="65" t="n">
        <x:v>0</x:v>
      </x:c>
      <x:c r="I8" s="66" t="n">
        <x:f>F8+(G8*Resumo!$C$6)+(H8*Resumo!$C$6*Resumo!$C$7)</x:f>
        <x:v>1</x:v>
      </x:c>
      <x:c r="J8" s="67" t="n">
        <x:v>95</x:v>
      </x:c>
      <x:c r="K8" s="67" t="n">
        <x:v>230</x:v>
      </x:c>
      <x:c r="L8" s="67" t="n">
        <x:f>IF(OR(I8=0,J8=""),"",I8*J8)</x:f>
        <x:v>95</x:v>
      </x:c>
      <x:c r="M8" s="67" t="n">
        <x:f>IF(OR(I8=0,K8=""),"",I8*K8)</x:f>
        <x:v>230</x:v>
      </x:c>
      <x:c r="N8" s="68" t="str">
        <x:v>Essencial</x:v>
      </x:c>
      <x:c r="O8" s="64" t="str">
        <x:v>https://www.robocore.net/acessorios-raspberry-pi</x:v>
      </x:c>
      <x:c r="P8" s="64" t="str">
        <x:v>Escolher gabinete com refrigeração ativa; não somar cooler separado se já estiver incluído.</x:v>
      </x:c>
    </x:row>
    <x:row r="9" ht="52" customHeight="1">
      <x:c r="A9" s="63" t="str">
        <x:v>Q04</x:v>
      </x:c>
      <x:c r="B9" s="64" t="str">
        <x:v>Quarto</x:v>
      </x:c>
      <x:c r="C9" s="64" t="str">
        <x:v>Armazenamento</x:v>
      </x:c>
      <x:c r="D9" s="64" t="str">
        <x:v>Cartão microSD 64 GB</x:v>
      </x:c>
      <x:c r="E9" s="64" t="str">
        <x:v>A2 ou equivalente, Classe 10, marca confiável</x:v>
      </x:c>
      <x:c r="F9" s="65" t="n">
        <x:v>0</x:v>
      </x:c>
      <x:c r="G9" s="65" t="n">
        <x:v>1</x:v>
      </x:c>
      <x:c r="H9" s="65" t="n">
        <x:v>0</x:v>
      </x:c>
      <x:c r="I9" s="66" t="n">
        <x:f>F9+(G9*Resumo!$C$6)+(H9*Resumo!$C$6*Resumo!$C$7)</x:f>
        <x:v>1</x:v>
      </x:c>
      <x:c r="J9" s="67" t="n">
        <x:v>130</x:v>
      </x:c>
      <x:c r="K9" s="67" t="n">
        <x:v>180</x:v>
      </x:c>
      <x:c r="L9" s="67" t="n">
        <x:f>IF(OR(I9=0,J9=""),"",I9*J9)</x:f>
        <x:v>130</x:v>
      </x:c>
      <x:c r="M9" s="67" t="n">
        <x:f>IF(OR(I9=0,K9=""),"",I9*K9)</x:f>
        <x:v>180</x:v>
      </x:c>
      <x:c r="N9" s="68" t="str">
        <x:v>Essencial</x:v>
      </x:c>
      <x:c r="O9" s="64" t="str">
        <x:v>https://www.robocore.net/acessorios-raspberry-pi</x:v>
      </x:c>
      <x:c r="P9" s="64" t="str">
        <x:v>Usar Raspberry Pi OS 64 bits e manter imagem de recuperação.</x:v>
      </x:c>
    </x:row>
    <x:row r="10" ht="52" customHeight="1">
      <x:c r="A10" s="63" t="str">
        <x:v>Q05</x:v>
      </x:c>
      <x:c r="B10" s="64" t="str">
        <x:v>Quarto</x:v>
      </x:c>
      <x:c r="C10" s="64" t="str">
        <x:v>Interface</x:v>
      </x:c>
      <x:c r="D10" s="64" t="str">
        <x:v>Raspberry Pi Touch Display 2 de 7 polegadas</x:v>
      </x:c>
      <x:c r="E10" s="64" t="str">
        <x:v>Tela capacitiva DSI, 720 × 1280</x:v>
      </x:c>
      <x:c r="F10" s="65" t="n">
        <x:v>0</x:v>
      </x:c>
      <x:c r="G10" s="65" t="n">
        <x:v>1</x:v>
      </x:c>
      <x:c r="H10" s="65" t="n">
        <x:v>0</x:v>
      </x:c>
      <x:c r="I10" s="66" t="n">
        <x:f>F10+(G10*Resumo!$C$6)+(H10*Resumo!$C$6*Resumo!$C$7)</x:f>
        <x:v>1</x:v>
      </x:c>
      <x:c r="J10" s="67" t="n">
        <x:v>799</x:v>
      </x:c>
      <x:c r="K10" s="67" t="n">
        <x:v>950</x:v>
      </x:c>
      <x:c r="L10" s="67" t="n">
        <x:f>IF(OR(I10=0,J10=""),"",I10*J10)</x:f>
        <x:v>799</x:v>
      </x:c>
      <x:c r="M10" s="67" t="n">
        <x:f>IF(OR(I10=0,K10=""),"",I10*K10)</x:f>
        <x:v>950</x:v>
      </x:c>
      <x:c r="N10" s="68" t="str">
        <x:v>Essencial</x:v>
      </x:c>
      <x:c r="O10" s="64" t="str">
        <x:v>https://www.raspberrypi.com/products/touch-display-2/</x:v>
      </x:c>
      <x:c r="P10" s="64" t="str">
        <x:v>Confirmar kit de cabos para Raspberry Pi 5.</x:v>
      </x:c>
    </x:row>
    <x:row r="11" ht="52" customHeight="1">
      <x:c r="A11" s="63" t="str">
        <x:v>Q06</x:v>
      </x:c>
      <x:c r="B11" s="64" t="str">
        <x:v>Quarto</x:v>
      </x:c>
      <x:c r="C11" s="64" t="str">
        <x:v>Mecânica</x:v>
      </x:c>
      <x:c r="D11" s="64" t="str">
        <x:v>Moldura/suporte para tela de 7 polegadas</x:v>
      </x:c>
      <x:c r="E11" s="64" t="str">
        <x:v>Fixação segura em parede ou mesa, ventilada</x:v>
      </x:c>
      <x:c r="F11" s="65" t="n">
        <x:v>0</x:v>
      </x:c>
      <x:c r="G11" s="65" t="n">
        <x:v>1</x:v>
      </x:c>
      <x:c r="H11" s="65" t="n">
        <x:v>0</x:v>
      </x:c>
      <x:c r="I11" s="66" t="n">
        <x:f>F11+(G11*Resumo!$C$6)+(H11*Resumo!$C$6*Resumo!$C$7)</x:f>
        <x:v>1</x:v>
      </x:c>
      <x:c r="J11" s="67" t="n">
        <x:v>80</x:v>
      </x:c>
      <x:c r="K11" s="67" t="n">
        <x:v>250</x:v>
      </x:c>
      <x:c r="L11" s="67" t="n">
        <x:f>IF(OR(I11=0,J11=""),"",I11*J11)</x:f>
        <x:v>80</x:v>
      </x:c>
      <x:c r="M11" s="67" t="n">
        <x:f>IF(OR(I11=0,K11=""),"",I11*K11)</x:f>
        <x:v>250</x:v>
      </x:c>
      <x:c r="N11" s="68" t="str">
        <x:v>Essencial</x:v>
      </x:c>
      <x:c r="O11" s="64" t="str"/>
      <x:c r="P11" s="64" t="str">
        <x:v>Dimensionar conforme o quarto e o gabinete escolhidos.</x:v>
      </x:c>
    </x:row>
    <x:row r="12" ht="52" customHeight="1">
      <x:c r="A12" s="63" t="str">
        <x:v>Q07</x:v>
      </x:c>
      <x:c r="B12" s="64" t="str">
        <x:v>Quarto</x:v>
      </x:c>
      <x:c r="C12" s="64" t="str">
        <x:v>Controle</x:v>
      </x:c>
      <x:c r="D12" s="64" t="str">
        <x:v>Arduino Mega 2560 compatível</x:v>
      </x:c>
      <x:c r="E12" s="64" t="str">
        <x:v>ATmega2560, 54 pinos digitais, 15 PWM, USB</x:v>
      </x:c>
      <x:c r="F12" s="65" t="n">
        <x:v>0</x:v>
      </x:c>
      <x:c r="G12" s="65" t="n">
        <x:v>1</x:v>
      </x:c>
      <x:c r="H12" s="65" t="n">
        <x:v>0</x:v>
      </x:c>
      <x:c r="I12" s="66" t="n">
        <x:f>F12+(G12*Resumo!$C$6)+(H12*Resumo!$C$6*Resumo!$C$7)</x:f>
        <x:v>1</x:v>
      </x:c>
      <x:c r="J12" s="67" t="n">
        <x:v>118</x:v>
      </x:c>
      <x:c r="K12" s="67" t="n">
        <x:v>250</x:v>
      </x:c>
      <x:c r="L12" s="67" t="n">
        <x:f>IF(OR(I12=0,J12=""),"",I12*J12)</x:f>
        <x:v>118</x:v>
      </x:c>
      <x:c r="M12" s="67" t="n">
        <x:f>IF(OR(I12=0,K12=""),"",I12*K12)</x:f>
        <x:v>250</x:v>
      </x:c>
      <x:c r="N12" s="68" t="str">
        <x:v>Essencial</x:v>
      </x:c>
      <x:c r="O12" s="64" t="str">
        <x:v>https://docs.arduino.cc/hardware/mega-2560</x:v>
      </x:c>
      <x:c r="P12" s="64" t="str">
        <x:v>O firmware entregue usa a pinagem do Mega.</x:v>
      </x:c>
    </x:row>
    <x:row r="13" ht="52" customHeight="1">
      <x:c r="A13" s="63" t="str">
        <x:v>Q08</x:v>
      </x:c>
      <x:c r="B13" s="64" t="str">
        <x:v>Quarto</x:v>
      </x:c>
      <x:c r="C13" s="64" t="str">
        <x:v>Conexão</x:v>
      </x:c>
      <x:c r="D13" s="64" t="str">
        <x:v>Cabo USB A–B para Arduino</x:v>
      </x:c>
      <x:c r="E13" s="64" t="str">
        <x:v>Dados + alimentação, 1 a 2 m, boa blindagem</x:v>
      </x:c>
      <x:c r="F13" s="65" t="n">
        <x:v>0</x:v>
      </x:c>
      <x:c r="G13" s="65" t="n">
        <x:v>1</x:v>
      </x:c>
      <x:c r="H13" s="65" t="n">
        <x:v>0</x:v>
      </x:c>
      <x:c r="I13" s="66" t="n">
        <x:f>F13+(G13*Resumo!$C$6)+(H13*Resumo!$C$6*Resumo!$C$7)</x:f>
        <x:v>1</x:v>
      </x:c>
      <x:c r="J13" s="67" t="n">
        <x:v>15</x:v>
      </x:c>
      <x:c r="K13" s="67" t="n">
        <x:v>35</x:v>
      </x:c>
      <x:c r="L13" s="67" t="n">
        <x:f>IF(OR(I13=0,J13=""),"",I13*J13)</x:f>
        <x:v>15</x:v>
      </x:c>
      <x:c r="M13" s="67" t="n">
        <x:f>IF(OR(I13=0,K13=""),"",I13*K13)</x:f>
        <x:v>35</x:v>
      </x:c>
      <x:c r="N13" s="68" t="str">
        <x:v>Essencial</x:v>
      </x:c>
      <x:c r="O13" s="64" t="str"/>
      <x:c r="P13" s="64" t="str">
        <x:v>Pode acompanhar algumas placas Mega.</x:v>
      </x:c>
    </x:row>
    <x:row r="14" ht="52" customHeight="1">
      <x:c r="A14" s="63" t="str">
        <x:v>Q09</x:v>
      </x:c>
      <x:c r="B14" s="64" t="str">
        <x:v>Quarto</x:v>
      </x:c>
      <x:c r="C14" s="64" t="str">
        <x:v>Relés</x:v>
      </x:c>
      <x:c r="D14" s="64" t="str">
        <x:v>Módulo relé principal de 8 canais</x:v>
      </x:c>
      <x:c r="E14" s="64" t="str">
        <x:v>Bobina 5 V, optoacoplado, bornes, contatos 10 A nominais</x:v>
      </x:c>
      <x:c r="F14" s="65" t="n">
        <x:v>0</x:v>
      </x:c>
      <x:c r="G14" s="65" t="n">
        <x:v>1</x:v>
      </x:c>
      <x:c r="H14" s="65" t="n">
        <x:v>0</x:v>
      </x:c>
      <x:c r="I14" s="66" t="n">
        <x:f>F14+(G14*Resumo!$C$6)+(H14*Resumo!$C$6*Resumo!$C$7)</x:f>
        <x:v>1</x:v>
      </x:c>
      <x:c r="J14" s="67" t="n">
        <x:v>43</x:v>
      </x:c>
      <x:c r="K14" s="67" t="n">
        <x:v>62</x:v>
      </x:c>
      <x:c r="L14" s="67" t="n">
        <x:f>IF(OR(I14=0,J14=""),"",I14*J14)</x:f>
        <x:v>43</x:v>
      </x:c>
      <x:c r="M14" s="67" t="n">
        <x:f>IF(OR(I14=0,K14=""),"",I14*K14)</x:f>
        <x:v>62</x:v>
      </x:c>
      <x:c r="N14" s="68" t="str">
        <x:v>Essencial</x:v>
      </x:c>
      <x:c r="O14" s="64" t="str">
        <x:v>https://www.eletrogate.com/modulo-rele-8-canais-5v</x:v>
      </x:c>
      <x:c r="P14" s="64" t="str">
        <x:v>O valor nominal do relé não substitui o dimensionamento da carga e das proteções.</x:v>
      </x:c>
    </x:row>
    <x:row r="15" ht="52" customHeight="1">
      <x:c r="A15" s="63" t="str">
        <x:v>A01</x:v>
      </x:c>
      <x:c r="B15" s="64" t="str">
        <x:v>Auxiliar</x:v>
      </x:c>
      <x:c r="C15" s="64" t="str">
        <x:v>Relés</x:v>
      </x:c>
      <x:c r="D15" s="64" t="str">
        <x:v>Módulo relé auxiliar de 8 canais</x:v>
      </x:c>
      <x:c r="E15" s="64" t="str">
        <x:v>Mesmo padrão do módulo principal; aparece somente no modo administrador</x:v>
      </x:c>
      <x:c r="F15" s="65" t="n">
        <x:v>0</x:v>
      </x:c>
      <x:c r="G15" s="65" t="n">
        <x:v>0</x:v>
      </x:c>
      <x:c r="H15" s="65" t="n">
        <x:v>1</x:v>
      </x:c>
      <x:c r="I15" s="66" t="n">
        <x:f>F15+(G15*Resumo!$C$6)+(H15*Resumo!$C$6*Resumo!$C$7)</x:f>
        <x:v>1</x:v>
      </x:c>
      <x:c r="J15" s="67" t="n">
        <x:v>43</x:v>
      </x:c>
      <x:c r="K15" s="67" t="n">
        <x:v>62</x:v>
      </x:c>
      <x:c r="L15" s="67" t="n">
        <x:f>IF(OR(I15=0,J15=""),"",I15*J15)</x:f>
        <x:v>43</x:v>
      </x:c>
      <x:c r="M15" s="67" t="n">
        <x:f>IF(OR(I15=0,K15=""),"",I15*K15)</x:f>
        <x:v>62</x:v>
      </x:c>
      <x:c r="N15" s="68" t="str">
        <x:v>Sob demanda</x:v>
      </x:c>
      <x:c r="O15" s="64" t="str">
        <x:v>https://www.eletrogate.com/modulo-rele-8-canais-5v</x:v>
      </x:c>
      <x:c r="P15" s="64" t="str">
        <x:v>Comprar quando os 8 canais principais estiverem ocupados e houver nova luz/tomada.</x:v>
      </x:c>
    </x:row>
    <x:row r="16" ht="52" customHeight="1">
      <x:c r="A16" s="63" t="str">
        <x:v>Q10</x:v>
      </x:c>
      <x:c r="B16" s="64" t="str">
        <x:v>Quarto</x:v>
      </x:c>
      <x:c r="C16" s="64" t="str">
        <x:v>Energia</x:v>
      </x:c>
      <x:c r="D16" s="64" t="str">
        <x:v>Fonte regulada 5 V / 3 A para relés e controle</x:v>
      </x:c>
      <x:c r="E16" s="64" t="str">
        <x:v>Saída isolada e protegida; preferir modelo para trilho DIN</x:v>
      </x:c>
      <x:c r="F16" s="65" t="n">
        <x:v>0</x:v>
      </x:c>
      <x:c r="G16" s="65" t="n">
        <x:v>1</x:v>
      </x:c>
      <x:c r="H16" s="65" t="n">
        <x:v>0</x:v>
      </x:c>
      <x:c r="I16" s="66" t="n">
        <x:f>F16+(G16*Resumo!$C$6)+(H16*Resumo!$C$6*Resumo!$C$7)</x:f>
        <x:v>1</x:v>
      </x:c>
      <x:c r="J16" s="67" t="n">
        <x:v>45</x:v>
      </x:c>
      <x:c r="K16" s="67" t="n">
        <x:v>120</x:v>
      </x:c>
      <x:c r="L16" s="67" t="n">
        <x:f>IF(OR(I16=0,J16=""),"",I16*J16)</x:f>
        <x:v>45</x:v>
      </x:c>
      <x:c r="M16" s="67" t="n">
        <x:f>IF(OR(I16=0,K16=""),"",I16*K16)</x:f>
        <x:v>120</x:v>
      </x:c>
      <x:c r="N16" s="68" t="str">
        <x:v>Essencial</x:v>
      </x:c>
      <x:c r="O16" s="64" t="str"/>
      <x:c r="P16" s="64" t="str">
        <x:v>Não alimentar todos os relés pela porta USB do Raspberry Pi.</x:v>
      </x:c>
    </x:row>
    <x:row r="17" ht="52" customHeight="1">
      <x:c r="A17" s="63" t="str">
        <x:v>A02</x:v>
      </x:c>
      <x:c r="B17" s="64" t="str">
        <x:v>Auxiliar</x:v>
      </x:c>
      <x:c r="C17" s="64" t="str">
        <x:v>Energia</x:v>
      </x:c>
      <x:c r="D17" s="64" t="str">
        <x:v>Reserva de potência 5 V para expansão</x:v>
      </x:c>
      <x:c r="E17" s="64" t="str">
        <x:v>Fonte adicional ou fonte maior calculada para 16 relés</x:v>
      </x:c>
      <x:c r="F17" s="65" t="n">
        <x:v>0</x:v>
      </x:c>
      <x:c r="G17" s="65" t="n">
        <x:v>0</x:v>
      </x:c>
      <x:c r="H17" s="65" t="n">
        <x:v>1</x:v>
      </x:c>
      <x:c r="I17" s="66" t="n">
        <x:f>F17+(G17*Resumo!$C$6)+(H17*Resumo!$C$6*Resumo!$C$7)</x:f>
        <x:v>1</x:v>
      </x:c>
      <x:c r="J17" s="67" t="n">
        <x:v>35</x:v>
      </x:c>
      <x:c r="K17" s="67" t="n">
        <x:v>100</x:v>
      </x:c>
      <x:c r="L17" s="67" t="n">
        <x:f>IF(OR(I17=0,J17=""),"",I17*J17)</x:f>
        <x:v>35</x:v>
      </x:c>
      <x:c r="M17" s="67" t="n">
        <x:f>IF(OR(I17=0,K17=""),"",I17*K17)</x:f>
        <x:v>100</x:v>
      </x:c>
      <x:c r="N17" s="68" t="str">
        <x:v>Sob demanda</x:v>
      </x:c>
      <x:c r="O17" s="64" t="str"/>
      <x:c r="P17" s="64" t="str">
        <x:v>Confirmar consumo das bobinas do módulo escolhido.</x:v>
      </x:c>
    </x:row>
    <x:row r="18" ht="52" customHeight="1">
      <x:c r="A18" s="63" t="str">
        <x:v>Q11</x:v>
      </x:c>
      <x:c r="B18" s="64" t="str">
        <x:v>Quarto</x:v>
      </x:c>
      <x:c r="C18" s="64" t="str">
        <x:v>Sensores</x:v>
      </x:c>
      <x:c r="D18" s="64" t="str">
        <x:v>Sensor magnético de porta MC‑38</x:v>
      </x:c>
      <x:c r="E18" s="64" t="str">
        <x:v>Contato seco, folga típica de 15 a 25 mm</x:v>
      </x:c>
      <x:c r="F18" s="65" t="n">
        <x:v>0</x:v>
      </x:c>
      <x:c r="G18" s="65" t="n">
        <x:v>1</x:v>
      </x:c>
      <x:c r="H18" s="65" t="n">
        <x:v>0</x:v>
      </x:c>
      <x:c r="I18" s="66" t="n">
        <x:f>F18+(G18*Resumo!$C$6)+(H18*Resumo!$C$6*Resumo!$C$7)</x:f>
        <x:v>1</x:v>
      </x:c>
      <x:c r="J18" s="67" t="n">
        <x:v>8</x:v>
      </x:c>
      <x:c r="K18" s="67" t="n">
        <x:v>20</x:v>
      </x:c>
      <x:c r="L18" s="67" t="n">
        <x:f>IF(OR(I18=0,J18=""),"",I18*J18)</x:f>
        <x:v>8</x:v>
      </x:c>
      <x:c r="M18" s="67" t="n">
        <x:f>IF(OR(I18=0,K18=""),"",I18*K18)</x:f>
        <x:v>20</x:v>
      </x:c>
      <x:c r="N18" s="68" t="str">
        <x:v>Essencial</x:v>
      </x:c>
      <x:c r="O18" s="64" t="str">
        <x:v>https://www.eletrogate.com/sensor-magnetico-mc-38</x:v>
      </x:c>
      <x:c r="P18" s="64" t="str">
        <x:v>Instalar com cabo protegido e testar porta aberta/fechada.</x:v>
      </x:c>
    </x:row>
    <x:row r="19" ht="52" customHeight="1">
      <x:c r="A19" s="63" t="str">
        <x:v>Q12</x:v>
      </x:c>
      <x:c r="B19" s="64" t="str">
        <x:v>Quarto</x:v>
      </x:c>
      <x:c r="C19" s="64" t="str">
        <x:v>Sinalização</x:v>
      </x:c>
      <x:c r="D19" s="64" t="str">
        <x:v>Sinaleiro LED vermelho</x:v>
      </x:c>
      <x:c r="E19" s="64" t="str">
        <x:v>12 Vcc, painel, baixo consumo</x:v>
      </x:c>
      <x:c r="F19" s="65" t="n">
        <x:v>0</x:v>
      </x:c>
      <x:c r="G19" s="65" t="n">
        <x:v>1</x:v>
      </x:c>
      <x:c r="H19" s="65" t="n">
        <x:v>0</x:v>
      </x:c>
      <x:c r="I19" s="66" t="n">
        <x:f>F19+(G19*Resumo!$C$6)+(H19*Resumo!$C$6*Resumo!$C$7)</x:f>
        <x:v>1</x:v>
      </x:c>
      <x:c r="J19" s="67" t="n">
        <x:v>15</x:v>
      </x:c>
      <x:c r="K19" s="67" t="n">
        <x:v>45</x:v>
      </x:c>
      <x:c r="L19" s="67" t="n">
        <x:f>IF(OR(I19=0,J19=""),"",I19*J19)</x:f>
        <x:v>15</x:v>
      </x:c>
      <x:c r="M19" s="67" t="n">
        <x:f>IF(OR(I19=0,K19=""),"",I19*K19)</x:f>
        <x:v>45</x:v>
      </x:c>
      <x:c r="N19" s="68" t="str">
        <x:v>Essencial</x:v>
      </x:c>
      <x:c r="O19" s="64" t="str"/>
      <x:c r="P19" s="64" t="str">
        <x:v>Indica quarto ocupado.</x:v>
      </x:c>
    </x:row>
    <x:row r="20" ht="52" customHeight="1">
      <x:c r="A20" s="63" t="str">
        <x:v>Q13</x:v>
      </x:c>
      <x:c r="B20" s="64" t="str">
        <x:v>Quarto</x:v>
      </x:c>
      <x:c r="C20" s="64" t="str">
        <x:v>Sinalização</x:v>
      </x:c>
      <x:c r="D20" s="64" t="str">
        <x:v>Sinaleiro LED verde</x:v>
      </x:c>
      <x:c r="E20" s="64" t="str">
        <x:v>12 Vcc, painel, baixo consumo</x:v>
      </x:c>
      <x:c r="F20" s="65" t="n">
        <x:v>0</x:v>
      </x:c>
      <x:c r="G20" s="65" t="n">
        <x:v>1</x:v>
      </x:c>
      <x:c r="H20" s="65" t="n">
        <x:v>0</x:v>
      </x:c>
      <x:c r="I20" s="66" t="n">
        <x:f>F20+(G20*Resumo!$C$6)+(H20*Resumo!$C$6*Resumo!$C$7)</x:f>
        <x:v>1</x:v>
      </x:c>
      <x:c r="J20" s="67" t="n">
        <x:v>15</x:v>
      </x:c>
      <x:c r="K20" s="67" t="n">
        <x:v>45</x:v>
      </x:c>
      <x:c r="L20" s="67" t="n">
        <x:f>IF(OR(I20=0,J20=""),"",I20*J20)</x:f>
        <x:v>15</x:v>
      </x:c>
      <x:c r="M20" s="67" t="n">
        <x:f>IF(OR(I20=0,K20=""),"",I20*K20)</x:f>
        <x:v>45</x:v>
      </x:c>
      <x:c r="N20" s="68" t="str">
        <x:v>Essencial</x:v>
      </x:c>
      <x:c r="O20" s="64" t="str"/>
      <x:c r="P20" s="64" t="str">
        <x:v>Aceso em arrumação; piscando ao aguardar liberação.</x:v>
      </x:c>
    </x:row>
    <x:row r="21" ht="52" customHeight="1">
      <x:c r="A21" s="63" t="str">
        <x:v>Q14</x:v>
      </x:c>
      <x:c r="B21" s="64" t="str">
        <x:v>Quarto</x:v>
      </x:c>
      <x:c r="C21" s="64" t="str">
        <x:v>Infravermelho</x:v>
      </x:c>
      <x:c r="D21" s="64" t="str">
        <x:v>Emissor infravermelho de alta potência</x:v>
      </x:c>
      <x:c r="E21" s="64" t="str">
        <x:v>940 nm com transistor/driver; cabo para posicionamento</x:v>
      </x:c>
      <x:c r="F21" s="65" t="n">
        <x:v>0</x:v>
      </x:c>
      <x:c r="G21" s="65" t="n">
        <x:v>2</x:v>
      </x:c>
      <x:c r="H21" s="65" t="n">
        <x:v>0</x:v>
      </x:c>
      <x:c r="I21" s="66" t="n">
        <x:f>F21+(G21*Resumo!$C$6)+(H21*Resumo!$C$6*Resumo!$C$7)</x:f>
        <x:v>2</x:v>
      </x:c>
      <x:c r="J21" s="67" t="n">
        <x:v>15</x:v>
      </x:c>
      <x:c r="K21" s="67" t="n">
        <x:v>45</x:v>
      </x:c>
      <x:c r="L21" s="67" t="n">
        <x:f>IF(OR(I21=0,J21=""),"",I21*J21)</x:f>
        <x:v>30</x:v>
      </x:c>
      <x:c r="M21" s="67" t="n">
        <x:f>IF(OR(I21=0,K21=""),"",I21*K21)</x:f>
        <x:v>90</x:v>
      </x:c>
      <x:c r="N21" s="68" t="str">
        <x:v>Essencial</x:v>
      </x:c>
      <x:c r="O21" s="64" t="str">
        <x:v>https://www.robocore.net/busca?term=infravermelho</x:v>
      </x:c>
      <x:c r="P21" s="64" t="str">
        <x:v>Um ponto para TV e outro para ar-condicionado melhora a confiabilidade.</x:v>
      </x:c>
    </x:row>
    <x:row r="22" ht="52" customHeight="1">
      <x:c r="A22" s="63" t="str">
        <x:v>Q15</x:v>
      </x:c>
      <x:c r="B22" s="64" t="str">
        <x:v>Quarto</x:v>
      </x:c>
      <x:c r="C22" s="64" t="str">
        <x:v>Infravermelho</x:v>
      </x:c>
      <x:c r="D22" s="64" t="str">
        <x:v>Receptor infravermelho 38 kHz</x:v>
      </x:c>
      <x:c r="E22" s="64" t="str">
        <x:v>Módulo receptor para aprender/testar códigos</x:v>
      </x:c>
      <x:c r="F22" s="65" t="n">
        <x:v>0</x:v>
      </x:c>
      <x:c r="G22" s="65" t="n">
        <x:v>1</x:v>
      </x:c>
      <x:c r="H22" s="65" t="n">
        <x:v>0</x:v>
      </x:c>
      <x:c r="I22" s="66" t="n">
        <x:f>F22+(G22*Resumo!$C$6)+(H22*Resumo!$C$6*Resumo!$C$7)</x:f>
        <x:v>1</x:v>
      </x:c>
      <x:c r="J22" s="67" t="n">
        <x:v>5</x:v>
      </x:c>
      <x:c r="K22" s="67" t="n">
        <x:v>20</x:v>
      </x:c>
      <x:c r="L22" s="67" t="n">
        <x:f>IF(OR(I22=0,J22=""),"",I22*J22)</x:f>
        <x:v>5</x:v>
      </x:c>
      <x:c r="M22" s="67" t="n">
        <x:f>IF(OR(I22=0,K22=""),"",I22*K22)</x:f>
        <x:v>20</x:v>
      </x:c>
      <x:c r="N22" s="68" t="str">
        <x:v>Essencial</x:v>
      </x:c>
      <x:c r="O22" s="64" t="str">
        <x:v>https://www.eletrogate.com/outros</x:v>
      </x:c>
      <x:c r="P22" s="64" t="str">
        <x:v>Validar cada marca/modelo de TV e ar-condicionado no quarto piloto.</x:v>
      </x:c>
    </x:row>
    <x:row r="23" ht="52" customHeight="1">
      <x:c r="A23" s="63" t="str">
        <x:v>Q16</x:v>
      </x:c>
      <x:c r="B23" s="64" t="str">
        <x:v>Quarto</x:v>
      </x:c>
      <x:c r="C23" s="64" t="str">
        <x:v>Iluminação RGB</x:v>
      </x:c>
      <x:c r="D23" s="64" t="str">
        <x:v>Fita LED RGB 12 V</x:v>
      </x:c>
      <x:c r="E23" s="64" t="str">
        <x:v>Ânodo comum, potência declarada por metro, até 5 m no piloto</x:v>
      </x:c>
      <x:c r="F23" s="65" t="n">
        <x:v>0</x:v>
      </x:c>
      <x:c r="G23" s="65" t="n">
        <x:v>1</x:v>
      </x:c>
      <x:c r="H23" s="65" t="n">
        <x:v>0</x:v>
      </x:c>
      <x:c r="I23" s="66" t="n">
        <x:f>F23+(G23*Resumo!$C$6)+(H23*Resumo!$C$6*Resumo!$C$7)</x:f>
        <x:v>1</x:v>
      </x:c>
      <x:c r="J23" s="67" t="n">
        <x:v>60</x:v>
      </x:c>
      <x:c r="K23" s="67" t="n">
        <x:v>160</x:v>
      </x:c>
      <x:c r="L23" s="67" t="n">
        <x:f>IF(OR(I23=0,J23=""),"",I23*J23)</x:f>
        <x:v>60</x:v>
      </x:c>
      <x:c r="M23" s="67" t="n">
        <x:f>IF(OR(I23=0,K23=""),"",I23*K23)</x:f>
        <x:v>160</x:v>
      </x:c>
      <x:c r="N23" s="68" t="str">
        <x:v>Essencial</x:v>
      </x:c>
      <x:c r="O23" s="64" t="str">
        <x:v>https://blog.eletrogate.com/controlando-fitas-de-led-rgb-com-o-arduino-parte-1/</x:v>
      </x:c>
      <x:c r="P23" s="64" t="str">
        <x:v>Comprar perfil de alumínio/difusor se a fita ficar visível.</x:v>
      </x:c>
    </x:row>
    <x:row r="24" ht="52" customHeight="1">
      <x:c r="A24" s="63" t="str">
        <x:v>Q17</x:v>
      </x:c>
      <x:c r="B24" s="64" t="str">
        <x:v>Quarto</x:v>
      </x:c>
      <x:c r="C24" s="64" t="str">
        <x:v>Iluminação RGB</x:v>
      </x:c>
      <x:c r="D24" s="64" t="str">
        <x:v>Driver MOSFET de 3 canais</x:v>
      </x:c>
      <x:c r="E24" s="64" t="str">
        <x:v>Nível lógico, corrente superior à fita, dissipação adequada</x:v>
      </x:c>
      <x:c r="F24" s="65" t="n">
        <x:v>0</x:v>
      </x:c>
      <x:c r="G24" s="65" t="n">
        <x:v>1</x:v>
      </x:c>
      <x:c r="H24" s="65" t="n">
        <x:v>0</x:v>
      </x:c>
      <x:c r="I24" s="66" t="n">
        <x:f>F24+(G24*Resumo!$C$6)+(H24*Resumo!$C$6*Resumo!$C$7)</x:f>
        <x:v>1</x:v>
      </x:c>
      <x:c r="J24" s="67" t="n">
        <x:v>30</x:v>
      </x:c>
      <x:c r="K24" s="67" t="n">
        <x:v>90</x:v>
      </x:c>
      <x:c r="L24" s="67" t="n">
        <x:f>IF(OR(I24=0,J24=""),"",I24*J24)</x:f>
        <x:v>30</x:v>
      </x:c>
      <x:c r="M24" s="67" t="n">
        <x:f>IF(OR(I24=0,K24=""),"",I24*K24)</x:f>
        <x:v>90</x:v>
      </x:c>
      <x:c r="N24" s="68" t="str">
        <x:v>Essencial</x:v>
      </x:c>
      <x:c r="O24" s="64" t="str">
        <x:v>https://blog.eletrogate.com/controlando-fitas-de-led-rgb-com-o-arduino-parte-1/</x:v>
      </x:c>
      <x:c r="P24" s="64" t="str">
        <x:v>Não ligar a fita diretamente nos pinos do Arduino.</x:v>
      </x:c>
    </x:row>
    <x:row r="25" ht="52" customHeight="1">
      <x:c r="A25" s="63" t="str">
        <x:v>Q18</x:v>
      </x:c>
      <x:c r="B25" s="64" t="str">
        <x:v>Quarto</x:v>
      </x:c>
      <x:c r="C25" s="64" t="str">
        <x:v>Energia</x:v>
      </x:c>
      <x:c r="D25" s="64" t="str">
        <x:v>Fonte 12 V para fita RGB e sinalização</x:v>
      </x:c>
      <x:c r="E25" s="64" t="str">
        <x:v>Dimensionar por potência total da fita + 30% de margem</x:v>
      </x:c>
      <x:c r="F25" s="65" t="n">
        <x:v>0</x:v>
      </x:c>
      <x:c r="G25" s="65" t="n">
        <x:v>1</x:v>
      </x:c>
      <x:c r="H25" s="65" t="n">
        <x:v>0</x:v>
      </x:c>
      <x:c r="I25" s="66" t="n">
        <x:f>F25+(G25*Resumo!$C$6)+(H25*Resumo!$C$6*Resumo!$C$7)</x:f>
        <x:v>1</x:v>
      </x:c>
      <x:c r="J25" s="67" t="n">
        <x:v>70</x:v>
      </x:c>
      <x:c r="K25" s="67" t="n">
        <x:v>180</x:v>
      </x:c>
      <x:c r="L25" s="67" t="n">
        <x:f>IF(OR(I25=0,J25=""),"",I25*J25)</x:f>
        <x:v>70</x:v>
      </x:c>
      <x:c r="M25" s="67" t="n">
        <x:f>IF(OR(I25=0,K25=""),"",I25*K25)</x:f>
        <x:v>180</x:v>
      </x:c>
      <x:c r="N25" s="68" t="str">
        <x:v>Essencial</x:v>
      </x:c>
      <x:c r="O25" s="64" t="str"/>
      <x:c r="P25" s="64" t="str">
        <x:v>Para 5 m, confirmar W/m antes de escolher corrente.</x:v>
      </x:c>
    </x:row>
    <x:row r="26" ht="52" customHeight="1">
      <x:c r="A26" s="63" t="str">
        <x:v>Q19</x:v>
      </x:c>
      <x:c r="B26" s="64" t="str">
        <x:v>Quarto</x:v>
      </x:c>
      <x:c r="C26" s="64" t="str">
        <x:v>Áudio</x:v>
      </x:c>
      <x:c r="D26" s="64" t="str">
        <x:v>Adaptador de áudio USB (DAC)</x:v>
      </x:c>
      <x:c r="E26" s="64" t="str">
        <x:v>Compatível com Linux/Raspberry Pi OS, saída estéreo</x:v>
      </x:c>
      <x:c r="F26" s="65" t="n">
        <x:v>0</x:v>
      </x:c>
      <x:c r="G26" s="65" t="n">
        <x:v>1</x:v>
      </x:c>
      <x:c r="H26" s="65" t="n">
        <x:v>0</x:v>
      </x:c>
      <x:c r="I26" s="66" t="n">
        <x:f>F26+(G26*Resumo!$C$6)+(H26*Resumo!$C$6*Resumo!$C$7)</x:f>
        <x:v>1</x:v>
      </x:c>
      <x:c r="J26" s="67" t="n">
        <x:v>40</x:v>
      </x:c>
      <x:c r="K26" s="67" t="n">
        <x:v>160</x:v>
      </x:c>
      <x:c r="L26" s="67" t="n">
        <x:f>IF(OR(I26=0,J26=""),"",I26*J26)</x:f>
        <x:v>40</x:v>
      </x:c>
      <x:c r="M26" s="67" t="n">
        <x:f>IF(OR(I26=0,K26=""),"",I26*K26)</x:f>
        <x:v>160</x:v>
      </x:c>
      <x:c r="N26" s="68" t="str">
        <x:v>Essencial</x:v>
      </x:c>
      <x:c r="O26" s="64" t="str"/>
      <x:c r="P26" s="64" t="str">
        <x:v>O Raspberry Pi 5 não possui saída analógica P2 integrada.</x:v>
      </x:c>
    </x:row>
    <x:row r="27" ht="52" customHeight="1">
      <x:c r="A27" s="63" t="str">
        <x:v>Q20</x:v>
      </x:c>
      <x:c r="B27" s="64" t="str">
        <x:v>Quarto</x:v>
      </x:c>
      <x:c r="C27" s="64" t="str">
        <x:v>Áudio</x:v>
      </x:c>
      <x:c r="D27" s="64" t="str">
        <x:v>Amplificador estéreo PAM8610 2 × 15 W</x:v>
      </x:c>
      <x:c r="E27" s="64" t="str">
        <x:v>Alimentação 7–15 V, alto-falantes 4–8 Ω</x:v>
      </x:c>
      <x:c r="F27" s="65" t="n">
        <x:v>0</x:v>
      </x:c>
      <x:c r="G27" s="65" t="n">
        <x:v>1</x:v>
      </x:c>
      <x:c r="H27" s="65" t="n">
        <x:v>0</x:v>
      </x:c>
      <x:c r="I27" s="66" t="n">
        <x:f>F27+(G27*Resumo!$C$6)+(H27*Resumo!$C$6*Resumo!$C$7)</x:f>
        <x:v>1</x:v>
      </x:c>
      <x:c r="J27" s="67" t="n">
        <x:v>25</x:v>
      </x:c>
      <x:c r="K27" s="67" t="n">
        <x:v>80</x:v>
      </x:c>
      <x:c r="L27" s="67" t="n">
        <x:f>IF(OR(I27=0,J27=""),"",I27*J27)</x:f>
        <x:v>25</x:v>
      </x:c>
      <x:c r="M27" s="67" t="n">
        <x:f>IF(OR(I27=0,K27=""),"",I27*K27)</x:f>
        <x:v>80</x:v>
      </x:c>
      <x:c r="N27" s="68" t="str">
        <x:v>Essencial</x:v>
      </x:c>
      <x:c r="O27" s="64" t="str">
        <x:v>https://www.eletrogate.com/placa-pam-pam8610-15w-15w-2-canais</x:v>
      </x:c>
      <x:c r="P27" s="64" t="str">
        <x:v>Usar dissipação e caixa ventilada conforme o módulo.</x:v>
      </x:c>
    </x:row>
    <x:row r="28" ht="52" customHeight="1">
      <x:c r="A28" s="63" t="str">
        <x:v>Q21</x:v>
      </x:c>
      <x:c r="B28" s="64" t="str">
        <x:v>Quarto</x:v>
      </x:c>
      <x:c r="C28" s="64" t="str">
        <x:v>Áudio</x:v>
      </x:c>
      <x:c r="D28" s="64" t="str">
        <x:v>Fonte 12 V / 3 A dedicada ao áudio</x:v>
      </x:c>
      <x:c r="E28" s="64" t="str">
        <x:v>Regulada, baixo ruído, isolada</x:v>
      </x:c>
      <x:c r="F28" s="65" t="n">
        <x:v>0</x:v>
      </x:c>
      <x:c r="G28" s="65" t="n">
        <x:v>1</x:v>
      </x:c>
      <x:c r="H28" s="65" t="n">
        <x:v>0</x:v>
      </x:c>
      <x:c r="I28" s="66" t="n">
        <x:f>F28+(G28*Resumo!$C$6)+(H28*Resumo!$C$6*Resumo!$C$7)</x:f>
        <x:v>1</x:v>
      </x:c>
      <x:c r="J28" s="67" t="n">
        <x:v>40</x:v>
      </x:c>
      <x:c r="K28" s="67" t="n">
        <x:v>100</x:v>
      </x:c>
      <x:c r="L28" s="67" t="n">
        <x:f>IF(OR(I28=0,J28=""),"",I28*J28)</x:f>
        <x:v>40</x:v>
      </x:c>
      <x:c r="M28" s="67" t="n">
        <x:f>IF(OR(I28=0,K28=""),"",I28*K28)</x:f>
        <x:v>100</x:v>
      </x:c>
      <x:c r="N28" s="68" t="str">
        <x:v>Essencial</x:v>
      </x:c>
      <x:c r="O28" s="64" t="str">
        <x:v>https://www.eletrogate.com/placa-pam-pam8610-15w-15w-2-canais</x:v>
      </x:c>
      <x:c r="P28" s="64" t="str">
        <x:v>Separar da fita RGB reduz ruídos audíveis.</x:v>
      </x:c>
    </x:row>
    <x:row r="29" ht="52" customHeight="1">
      <x:c r="A29" s="63" t="str">
        <x:v>Q22</x:v>
      </x:c>
      <x:c r="B29" s="64" t="str">
        <x:v>Quarto</x:v>
      </x:c>
      <x:c r="C29" s="64" t="str">
        <x:v>Áudio</x:v>
      </x:c>
      <x:c r="D29" s="64" t="str">
        <x:v>Alto-falante 15 W, 4–8 Ω</x:v>
      </x:c>
      <x:c r="E29" s="64" t="str">
        <x:v>Full range, próprio para embutir; par estéreo</x:v>
      </x:c>
      <x:c r="F29" s="65" t="n">
        <x:v>0</x:v>
      </x:c>
      <x:c r="G29" s="65" t="n">
        <x:v>2</x:v>
      </x:c>
      <x:c r="H29" s="65" t="n">
        <x:v>0</x:v>
      </x:c>
      <x:c r="I29" s="66" t="n">
        <x:f>F29+(G29*Resumo!$C$6)+(H29*Resumo!$C$6*Resumo!$C$7)</x:f>
        <x:v>2</x:v>
      </x:c>
      <x:c r="J29" s="67" t="n">
        <x:v>50</x:v>
      </x:c>
      <x:c r="K29" s="67" t="n">
        <x:v>160</x:v>
      </x:c>
      <x:c r="L29" s="67" t="n">
        <x:f>IF(OR(I29=0,J29=""),"",I29*J29)</x:f>
        <x:v>100</x:v>
      </x:c>
      <x:c r="M29" s="67" t="n">
        <x:f>IF(OR(I29=0,K29=""),"",I29*K29)</x:f>
        <x:v>320</x:v>
      </x:c>
      <x:c r="N29" s="68" t="str">
        <x:v>Essencial</x:v>
      </x:c>
      <x:c r="O29" s="64" t="str"/>
      <x:c r="P29" s="64" t="str">
        <x:v>Confirmar impedância suportada pelo amplificador.</x:v>
      </x:c>
    </x:row>
    <x:row r="30" ht="52" customHeight="1">
      <x:c r="A30" s="63" t="str">
        <x:v>Q23</x:v>
      </x:c>
      <x:c r="B30" s="64" t="str">
        <x:v>Quarto</x:v>
      </x:c>
      <x:c r="C30" s="64" t="str">
        <x:v>Áudio</x:v>
      </x:c>
      <x:c r="D30" s="64" t="str">
        <x:v>Cabos de áudio blindados e cabos para alto-falante</x:v>
      </x:c>
      <x:c r="E30" s="64" t="str">
        <x:v>Bitola e comprimento conforme instalação</x:v>
      </x:c>
      <x:c r="F30" s="65" t="n">
        <x:v>0</x:v>
      </x:c>
      <x:c r="G30" s="65" t="n">
        <x:v>1</x:v>
      </x:c>
      <x:c r="H30" s="65" t="n">
        <x:v>0</x:v>
      </x:c>
      <x:c r="I30" s="66" t="n">
        <x:f>F30+(G30*Resumo!$C$6)+(H30*Resumo!$C$6*Resumo!$C$7)</x:f>
        <x:v>1</x:v>
      </x:c>
      <x:c r="J30" s="67" t="n">
        <x:v>50</x:v>
      </x:c>
      <x:c r="K30" s="67" t="n">
        <x:v>180</x:v>
      </x:c>
      <x:c r="L30" s="67" t="n">
        <x:f>IF(OR(I30=0,J30=""),"",I30*J30)</x:f>
        <x:v>50</x:v>
      </x:c>
      <x:c r="M30" s="67" t="n">
        <x:f>IF(OR(I30=0,K30=""),"",I30*K30)</x:f>
        <x:v>180</x:v>
      </x:c>
      <x:c r="N30" s="68" t="str">
        <x:v>Essencial</x:v>
      </x:c>
      <x:c r="O30" s="64" t="str"/>
      <x:c r="P30" s="64" t="str">
        <x:v>Manter afastado dos cabos de rede elétrica.</x:v>
      </x:c>
    </x:row>
    <x:row r="31" ht="52" customHeight="1">
      <x:c r="A31" s="63" t="str">
        <x:v>Q24</x:v>
      </x:c>
      <x:c r="B31" s="64" t="str">
        <x:v>Quarto</x:v>
      </x:c>
      <x:c r="C31" s="64" t="str">
        <x:v>Montagem</x:v>
      </x:c>
      <x:c r="D31" s="64" t="str">
        <x:v>Caixa para eletrônica de baixa tensão</x:v>
      </x:c>
      <x:c r="E31" s="64" t="str">
        <x:v>Ventilada, com trilho DIN e separação física da rede elétrica</x:v>
      </x:c>
      <x:c r="F31" s="65" t="n">
        <x:v>0</x:v>
      </x:c>
      <x:c r="G31" s="65" t="n">
        <x:v>1</x:v>
      </x:c>
      <x:c r="H31" s="65" t="n">
        <x:v>0</x:v>
      </x:c>
      <x:c r="I31" s="66" t="n">
        <x:f>F31+(G31*Resumo!$C$6)+(H31*Resumo!$C$6*Resumo!$C$7)</x:f>
        <x:v>1</x:v>
      </x:c>
      <x:c r="J31" s="67" t="n">
        <x:v>150</x:v>
      </x:c>
      <x:c r="K31" s="67" t="n">
        <x:v>450</x:v>
      </x:c>
      <x:c r="L31" s="67" t="n">
        <x:f>IF(OR(I31=0,J31=""),"",I31*J31)</x:f>
        <x:v>150</x:v>
      </x:c>
      <x:c r="M31" s="67" t="n">
        <x:f>IF(OR(I31=0,K31=""),"",I31*K31)</x:f>
        <x:v>450</x:v>
      </x:c>
      <x:c r="N31" s="68" t="str">
        <x:v>Essencial</x:v>
      </x:c>
      <x:c r="O31" s="64" t="str"/>
      <x:c r="P31" s="64" t="str">
        <x:v>Pi, Arduino, fontes e áudio precisam de fixação e ventilação.</x:v>
      </x:c>
    </x:row>
    <x:row r="32" ht="52" customHeight="1">
      <x:c r="A32" s="63" t="str">
        <x:v>Q25</x:v>
      </x:c>
      <x:c r="B32" s="64" t="str">
        <x:v>Quarto</x:v>
      </x:c>
      <x:c r="C32" s="64" t="str">
        <x:v>Montagem</x:v>
      </x:c>
      <x:c r="D32" s="64" t="str">
        <x:v>Bornes, trilho DIN, prensa-cabos, terminais e fusíveis DC</x:v>
      </x:c>
      <x:c r="E32" s="64" t="str">
        <x:v>Kit para montagem limpa e manutenção</x:v>
      </x:c>
      <x:c r="F32" s="65" t="n">
        <x:v>0</x:v>
      </x:c>
      <x:c r="G32" s="65" t="n">
        <x:v>1</x:v>
      </x:c>
      <x:c r="H32" s="65" t="n">
        <x:v>0</x:v>
      </x:c>
      <x:c r="I32" s="66" t="n">
        <x:f>F32+(G32*Resumo!$C$6)+(H32*Resumo!$C$6*Resumo!$C$7)</x:f>
        <x:v>1</x:v>
      </x:c>
      <x:c r="J32" s="67" t="n">
        <x:v>120</x:v>
      </x:c>
      <x:c r="K32" s="67" t="n">
        <x:v>350</x:v>
      </x:c>
      <x:c r="L32" s="67" t="n">
        <x:f>IF(OR(I32=0,J32=""),"",I32*J32)</x:f>
        <x:v>120</x:v>
      </x:c>
      <x:c r="M32" s="67" t="n">
        <x:f>IF(OR(I32=0,K32=""),"",I32*K32)</x:f>
        <x:v>350</x:v>
      </x:c>
      <x:c r="N32" s="68" t="str">
        <x:v>Essencial</x:v>
      </x:c>
      <x:c r="O32" s="64" t="str"/>
      <x:c r="P32" s="64" t="str">
        <x:v>Etiquetar todos os canais e cabos.</x:v>
      </x:c>
    </x:row>
    <x:row r="33" ht="52" customHeight="1">
      <x:c r="A33" s="63" t="str">
        <x:v>Q26</x:v>
      </x:c>
      <x:c r="B33" s="64" t="str">
        <x:v>Quarto</x:v>
      </x:c>
      <x:c r="C33" s="64" t="str">
        <x:v>Protótipo</x:v>
      </x:c>
      <x:c r="D33" s="64" t="str">
        <x:v>Protoboard, jumpers, resistores, transistores e conectores</x:v>
      </x:c>
      <x:c r="E33" s="64" t="str">
        <x:v>Kit para bancada e testes de entradas/saídas</x:v>
      </x:c>
      <x:c r="F33" s="65" t="n">
        <x:v>0</x:v>
      </x:c>
      <x:c r="G33" s="65" t="n">
        <x:v>1</x:v>
      </x:c>
      <x:c r="H33" s="65" t="n">
        <x:v>0</x:v>
      </x:c>
      <x:c r="I33" s="66" t="n">
        <x:f>F33+(G33*Resumo!$C$6)+(H33*Resumo!$C$6*Resumo!$C$7)</x:f>
        <x:v>1</x:v>
      </x:c>
      <x:c r="J33" s="67" t="n">
        <x:v>80</x:v>
      </x:c>
      <x:c r="K33" s="67" t="n">
        <x:v>250</x:v>
      </x:c>
      <x:c r="L33" s="67" t="n">
        <x:f>IF(OR(I33=0,J33=""),"",I33*J33)</x:f>
        <x:v>80</x:v>
      </x:c>
      <x:c r="M33" s="67" t="n">
        <x:f>IF(OR(I33=0,K33=""),"",I33*K33)</x:f>
        <x:v>250</x:v>
      </x:c>
      <x:c r="N33" s="68" t="str">
        <x:v>Essencial no piloto</x:v>
      </x:c>
      <x:c r="O33" s="64" t="str">
        <x:v>https://www.robocore.net/busca?term=arduino</x:v>
      </x:c>
      <x:c r="P33" s="64" t="str">
        <x:v>Substituir protoboard por placa/interface adequada na versão de produção.</x:v>
      </x:c>
    </x:row>
    <x:row r="34" ht="52" customHeight="1">
      <x:c r="A34" s="63" t="str">
        <x:v>Q27</x:v>
      </x:c>
      <x:c r="B34" s="64" t="str">
        <x:v>Quarto</x:v>
      </x:c>
      <x:c r="C34" s="64" t="str">
        <x:v>Resiliência</x:v>
      </x:c>
      <x:c r="D34" s="64" t="str">
        <x:v>UPS/nobreak para Raspberry Pi e rede local do quarto</x:v>
      </x:c>
      <x:c r="E34" s="64" t="str">
        <x:v>Autonomia suficiente para desligamento seguro</x:v>
      </x:c>
      <x:c r="F34" s="65" t="n">
        <x:v>0</x:v>
      </x:c>
      <x:c r="G34" s="65" t="n">
        <x:v>1</x:v>
      </x:c>
      <x:c r="H34" s="65" t="n">
        <x:v>0</x:v>
      </x:c>
      <x:c r="I34" s="66" t="n">
        <x:f>F34+(G34*Resumo!$C$6)+(H34*Resumo!$C$6*Resumo!$C$7)</x:f>
        <x:v>1</x:v>
      </x:c>
      <x:c r="J34" s="67" t="n">
        <x:v>300</x:v>
      </x:c>
      <x:c r="K34" s="67" t="n">
        <x:v>900</x:v>
      </x:c>
      <x:c r="L34" s="67" t="n">
        <x:f>IF(OR(I34=0,J34=""),"",I34*J34)</x:f>
        <x:v>300</x:v>
      </x:c>
      <x:c r="M34" s="67" t="n">
        <x:f>IF(OR(I34=0,K34=""),"",I34*K34)</x:f>
        <x:v>900</x:v>
      </x:c>
      <x:c r="N34" s="68" t="str">
        <x:v>Recomendado</x:v>
      </x:c>
      <x:c r="O34" s="64" t="str"/>
      <x:c r="P34" s="64" t="str">
        <x:v>Definir tecnologia e capacidade no piloto.</x:v>
      </x:c>
    </x:row>
    <x:row r="35" ht="52" customHeight="1">
      <x:c r="A35" s="63" t="str">
        <x:v>Q28</x:v>
      </x:c>
      <x:c r="B35" s="64" t="str">
        <x:v>Quarto</x:v>
      </x:c>
      <x:c r="C35" s="64" t="str">
        <x:v>Segurança</x:v>
      </x:c>
      <x:c r="D35" s="64" t="str">
        <x:v>Isolador USB para a ligação Pi–Arduino</x:v>
      </x:c>
      <x:c r="E35" s="64" t="str">
        <x:v>USB 2.0 compatível com comunicação serial</x:v>
      </x:c>
      <x:c r="F35" s="65" t="n">
        <x:v>0</x:v>
      </x:c>
      <x:c r="G35" s="65" t="n">
        <x:v>1</x:v>
      </x:c>
      <x:c r="H35" s="65" t="n">
        <x:v>0</x:v>
      </x:c>
      <x:c r="I35" s="66" t="n">
        <x:f>F35+(G35*Resumo!$C$6)+(H35*Resumo!$C$6*Resumo!$C$7)</x:f>
        <x:v>1</x:v>
      </x:c>
      <x:c r="J35" s="67" t="n">
        <x:v>100</x:v>
      </x:c>
      <x:c r="K35" s="67" t="n">
        <x:v>350</x:v>
      </x:c>
      <x:c r="L35" s="67" t="n">
        <x:f>IF(OR(I35=0,J35=""),"",I35*J35)</x:f>
        <x:v>100</x:v>
      </x:c>
      <x:c r="M35" s="67" t="n">
        <x:f>IF(OR(I35=0,K35=""),"",I35*K35)</x:f>
        <x:v>350</x:v>
      </x:c>
      <x:c r="N35" s="68" t="str">
        <x:v>Recomendado</x:v>
      </x:c>
      <x:c r="O35" s="64" t="str"/>
      <x:c r="P35" s="64" t="str">
        <x:v>Ajuda a reduzir laços de terra e protege as placas; validar compatibilidade.</x:v>
      </x:c>
    </x:row>
    <x:row r="36" ht="52" customHeight="1">
      <x:c r="A36" s="63" t="str">
        <x:v>C01</x:v>
      </x:c>
      <x:c r="B36" s="64" t="str">
        <x:v>Completa</x:v>
      </x:c>
      <x:c r="C36" s="64" t="str">
        <x:v>Rede</x:v>
      </x:c>
      <x:c r="D36" s="64" t="str">
        <x:v>Cabo de rede CAT6 montado/instalado por quarto</x:v>
      </x:c>
      <x:c r="E36" s="64" t="str">
        <x:v>Cobre, certificado, comprimento conforme planta</x:v>
      </x:c>
      <x:c r="F36" s="65" t="n">
        <x:v>0</x:v>
      </x:c>
      <x:c r="G36" s="65" t="n">
        <x:v>1</x:v>
      </x:c>
      <x:c r="H36" s="65" t="n">
        <x:v>0</x:v>
      </x:c>
      <x:c r="I36" s="66" t="n">
        <x:f>(F36*Resumo!$C$8)+(G36*Resumo!$C$6*Resumo!$C$8)</x:f>
        <x:v>1</x:v>
      </x:c>
      <x:c r="J36" s="67" t="n">
        <x:v>30</x:v>
      </x:c>
      <x:c r="K36" s="67" t="n">
        <x:v>150</x:v>
      </x:c>
      <x:c r="L36" s="67" t="n">
        <x:f>IF(OR(I36=0,J36=""),"",I36*J36)</x:f>
        <x:v>30</x:v>
      </x:c>
      <x:c r="M36" s="67" t="n">
        <x:f>IF(OR(I36=0,K36=""),"",I36*K36)</x:f>
        <x:v>150</x:v>
      </x:c>
      <x:c r="N36" s="68" t="str">
        <x:v>Essencial na completa</x:v>
      </x:c>
      <x:c r="O36" s="64" t="str"/>
      <x:c r="P36" s="64" t="str">
        <x:v>Preferir Ethernet cabeada entre quartos e rede do hotel.</x:v>
      </x:c>
    </x:row>
    <x:row r="37" ht="52" customHeight="1">
      <x:c r="A37" s="63" t="str">
        <x:v>C02</x:v>
      </x:c>
      <x:c r="B37" s="64" t="str">
        <x:v>Completa</x:v>
      </x:c>
      <x:c r="C37" s="64" t="str">
        <x:v>Rede</x:v>
      </x:c>
      <x:c r="D37" s="64" t="str">
        <x:v>Switch Gigabit gerenciável</x:v>
      </x:c>
      <x:c r="E37" s="64" t="str">
        <x:v>Portas = quartos + recepção + servidor + 25% de reserva</x:v>
      </x:c>
      <x:c r="F37" s="65" t="n">
        <x:v>1</x:v>
      </x:c>
      <x:c r="G37" s="65" t="n">
        <x:v>0</x:v>
      </x:c>
      <x:c r="H37" s="65" t="n">
        <x:v>0</x:v>
      </x:c>
      <x:c r="I37" s="66" t="n">
        <x:f>(F37*Resumo!$C$8)+(G37*Resumo!$C$6*Resumo!$C$8)</x:f>
        <x:v>1</x:v>
      </x:c>
      <x:c r="J37" s="67" t="n">
        <x:v>500</x:v>
      </x:c>
      <x:c r="K37" s="67" t="n">
        <x:v>2500</x:v>
      </x:c>
      <x:c r="L37" s="67" t="n">
        <x:f>IF(OR(I37=0,J37=""),"",I37*J37)</x:f>
        <x:v>500</x:v>
      </x:c>
      <x:c r="M37" s="67" t="n">
        <x:f>IF(OR(I37=0,K37=""),"",I37*K37)</x:f>
        <x:v>2500</x:v>
      </x:c>
      <x:c r="N37" s="68" t="str">
        <x:v>Essencial na completa</x:v>
      </x:c>
      <x:c r="O37" s="64" t="str"/>
      <x:c r="P37" s="64" t="str">
        <x:v>Preço é referência inicial; selecionar depois de definir número de quartos.</x:v>
      </x:c>
    </x:row>
    <x:row r="38" ht="52" customHeight="1">
      <x:c r="A38" s="63" t="str">
        <x:v>C03</x:v>
      </x:c>
      <x:c r="B38" s="64" t="str">
        <x:v>Completa</x:v>
      </x:c>
      <x:c r="C38" s="64" t="str">
        <x:v>Rede</x:v>
      </x:c>
      <x:c r="D38" s="64" t="str">
        <x:v>Roteador/firewall</x:v>
      </x:c>
      <x:c r="E38" s="64" t="str">
        <x:v>VLANs para automação, administração e hóspedes</x:v>
      </x:c>
      <x:c r="F38" s="65" t="n">
        <x:v>1</x:v>
      </x:c>
      <x:c r="G38" s="65" t="n">
        <x:v>0</x:v>
      </x:c>
      <x:c r="H38" s="65" t="n">
        <x:v>0</x:v>
      </x:c>
      <x:c r="I38" s="66" t="n">
        <x:f>(F38*Resumo!$C$8)+(G38*Resumo!$C$6*Resumo!$C$8)</x:f>
        <x:v>1</x:v>
      </x:c>
      <x:c r="J38" s="67" t="n">
        <x:v>500</x:v>
      </x:c>
      <x:c r="K38" s="67" t="n">
        <x:v>2500</x:v>
      </x:c>
      <x:c r="L38" s="67" t="n">
        <x:f>IF(OR(I38=0,J38=""),"",I38*J38)</x:f>
        <x:v>500</x:v>
      </x:c>
      <x:c r="M38" s="67" t="n">
        <x:f>IF(OR(I38=0,K38=""),"",I38*K38)</x:f>
        <x:v>2500</x:v>
      </x:c>
      <x:c r="N38" s="68" t="str">
        <x:v>Essencial na completa</x:v>
      </x:c>
      <x:c r="O38" s="64" t="str"/>
      <x:c r="P38" s="64" t="str">
        <x:v>Pode ser aproveitado da infraestrutura do hotel se atender aos requisitos.</x:v>
      </x:c>
    </x:row>
    <x:row r="39" ht="52" customHeight="1">
      <x:c r="A39" s="63" t="str">
        <x:v>C04</x:v>
      </x:c>
      <x:c r="B39" s="64" t="str">
        <x:v>Completa</x:v>
      </x:c>
      <x:c r="C39" s="64" t="str">
        <x:v>Rede</x:v>
      </x:c>
      <x:c r="D39" s="64" t="str">
        <x:v>Ponto de acesso Wi‑Fi corporativo</x:v>
      </x:c>
      <x:c r="E39" s="64" t="str">
        <x:v>Cobertura, roaming e rede separada</x:v>
      </x:c>
      <x:c r="F39" s="65" t="n">
        <x:v>1</x:v>
      </x:c>
      <x:c r="G39" s="65" t="n">
        <x:v>0</x:v>
      </x:c>
      <x:c r="H39" s="65" t="n">
        <x:v>0</x:v>
      </x:c>
      <x:c r="I39" s="66" t="n">
        <x:f>(F39*Resumo!$C$8)+(G39*Resumo!$C$6*Resumo!$C$8)</x:f>
        <x:v>1</x:v>
      </x:c>
      <x:c r="J39" s="67" t="n">
        <x:v>600</x:v>
      </x:c>
      <x:c r="K39" s="67" t="n">
        <x:v>1800</x:v>
      </x:c>
      <x:c r="L39" s="67" t="n">
        <x:f>IF(OR(I39=0,J39=""),"",I39*J39)</x:f>
        <x:v>600</x:v>
      </x:c>
      <x:c r="M39" s="67" t="n">
        <x:f>IF(OR(I39=0,K39=""),"",I39*K39)</x:f>
        <x:v>1800</x:v>
      </x:c>
      <x:c r="N39" s="68" t="str">
        <x:v>Conforme cobertura</x:v>
      </x:c>
      <x:c r="O39" s="64" t="str"/>
      <x:c r="P39" s="64" t="str">
        <x:v>Quantidade final depende da planta e de um levantamento de sinal.</x:v>
      </x:c>
    </x:row>
    <x:row r="40" ht="52" customHeight="1">
      <x:c r="A40" s="63" t="str">
        <x:v>C05</x:v>
      </x:c>
      <x:c r="B40" s="64" t="str">
        <x:v>Completa</x:v>
      </x:c>
      <x:c r="C40" s="64" t="str">
        <x:v>Servidor</x:v>
      </x:c>
      <x:c r="D40" s="64" t="str">
        <x:v>Mini PC/servidor da central</x:v>
      </x:c>
      <x:c r="E40" s="64" t="str">
        <x:v>SSD, Ethernet, backup; hospeda recepção, banco e sincronização</x:v>
      </x:c>
      <x:c r="F40" s="65" t="n">
        <x:v>1</x:v>
      </x:c>
      <x:c r="G40" s="65" t="n">
        <x:v>0</x:v>
      </x:c>
      <x:c r="H40" s="65" t="n">
        <x:v>0</x:v>
      </x:c>
      <x:c r="I40" s="66" t="n">
        <x:f>(F40*Resumo!$C$8)+(G40*Resumo!$C$6*Resumo!$C$8)</x:f>
        <x:v>1</x:v>
      </x:c>
      <x:c r="J40" s="67" t="n">
        <x:v>1800</x:v>
      </x:c>
      <x:c r="K40" s="67" t="n">
        <x:v>4500</x:v>
      </x:c>
      <x:c r="L40" s="67" t="n">
        <x:f>IF(OR(I40=0,J40=""),"",I40*J40)</x:f>
        <x:v>1800</x:v>
      </x:c>
      <x:c r="M40" s="67" t="n">
        <x:f>IF(OR(I40=0,K40=""),"",I40*K40)</x:f>
        <x:v>4500</x:v>
      </x:c>
      <x:c r="N40" s="68" t="str">
        <x:v>Essencial na completa</x:v>
      </x:c>
      <x:c r="O40" s="64" t="str"/>
      <x:c r="P40" s="64" t="str">
        <x:v>Pode ser substituído por computador existente após teste de capacidade.</x:v>
      </x:c>
    </x:row>
    <x:row r="41" ht="52" customHeight="1">
      <x:c r="A41" s="63" t="str">
        <x:v>C06</x:v>
      </x:c>
      <x:c r="B41" s="64" t="str">
        <x:v>Completa</x:v>
      </x:c>
      <x:c r="C41" s="64" t="str">
        <x:v>Resiliência</x:v>
      </x:c>
      <x:c r="D41" s="64" t="str">
        <x:v>Nobreak da central e rede</x:v>
      </x:c>
      <x:c r="E41" s="64" t="str">
        <x:v>Dimensionado para servidor, roteador e switch</x:v>
      </x:c>
      <x:c r="F41" s="65" t="n">
        <x:v>1</x:v>
      </x:c>
      <x:c r="G41" s="65" t="n">
        <x:v>0</x:v>
      </x:c>
      <x:c r="H41" s="65" t="n">
        <x:v>0</x:v>
      </x:c>
      <x:c r="I41" s="66" t="n">
        <x:f>(F41*Resumo!$C$8)+(G41*Resumo!$C$6*Resumo!$C$8)</x:f>
        <x:v>1</x:v>
      </x:c>
      <x:c r="J41" s="67" t="n">
        <x:v>700</x:v>
      </x:c>
      <x:c r="K41" s="67" t="n">
        <x:v>2500</x:v>
      </x:c>
      <x:c r="L41" s="67" t="n">
        <x:f>IF(OR(I41=0,J41=""),"",I41*J41)</x:f>
        <x:v>700</x:v>
      </x:c>
      <x:c r="M41" s="67" t="n">
        <x:f>IF(OR(I41=0,K41=""),"",I41*K41)</x:f>
        <x:v>2500</x:v>
      </x:c>
      <x:c r="N41" s="68" t="str">
        <x:v>Essencial na completa</x:v>
      </x:c>
      <x:c r="O41" s="64" t="str"/>
      <x:c r="P41" s="64" t="str">
        <x:v>Dimensionar autonomia desejada e potência real.</x:v>
      </x:c>
    </x:row>
    <x:row r="42" ht="52" customHeight="1">
      <x:c r="A42" s="63" t="str">
        <x:v>C07</x:v>
      </x:c>
      <x:c r="B42" s="64" t="str">
        <x:v>Completa</x:v>
      </x:c>
      <x:c r="C42" s="64" t="str">
        <x:v>Rede</x:v>
      </x:c>
      <x:c r="D42" s="64" t="str">
        <x:v>Patch panel, rack, patch cords e organização</x:v>
      </x:c>
      <x:c r="E42" s="64" t="str">
        <x:v>Categoria compatível com CAT6</x:v>
      </x:c>
      <x:c r="F42" s="65" t="n">
        <x:v>1</x:v>
      </x:c>
      <x:c r="G42" s="65" t="n">
        <x:v>0</x:v>
      </x:c>
      <x:c r="H42" s="65" t="n">
        <x:v>0</x:v>
      </x:c>
      <x:c r="I42" s="66" t="n">
        <x:f>(F42*Resumo!$C$8)+(G42*Resumo!$C$6*Resumo!$C$8)</x:f>
        <x:v>1</x:v>
      </x:c>
      <x:c r="J42" s="67" t="n">
        <x:v>500</x:v>
      </x:c>
      <x:c r="K42" s="67" t="n">
        <x:v>2500</x:v>
      </x:c>
      <x:c r="L42" s="67" t="n">
        <x:f>IF(OR(I42=0,J42=""),"",I42*J42)</x:f>
        <x:v>500</x:v>
      </x:c>
      <x:c r="M42" s="67" t="n">
        <x:f>IF(OR(I42=0,K42=""),"",I42*K42)</x:f>
        <x:v>2500</x:v>
      </x:c>
      <x:c r="N42" s="68" t="str">
        <x:v>Conforme hotel</x:v>
      </x:c>
      <x:c r="O42" s="64" t="str"/>
      <x:c r="P42" s="64" t="str">
        <x:v>Quantidade e tamanho dependem da planta.</x:v>
      </x:c>
    </x:row>
    <x:row r="43" ht="52" customHeight="1">
      <x:c r="A43" s="63" t="str">
        <x:v>C08</x:v>
      </x:c>
      <x:c r="B43" s="64" t="str">
        <x:v>Completa</x:v>
      </x:c>
      <x:c r="C43" s="64" t="str">
        <x:v>Operação</x:v>
      </x:c>
      <x:c r="D43" s="64" t="str">
        <x:v>Celular Android para camareira</x:v>
      </x:c>
      <x:c r="E43" s="64" t="str">
        <x:v>Wi‑Fi, versão Android suportada; 1 por equipe/turno</x:v>
      </x:c>
      <x:c r="F43" s="65" t="n">
        <x:v>0</x:v>
      </x:c>
      <x:c r="G43" s="65" t="n">
        <x:v>0</x:v>
      </x:c>
      <x:c r="H43" s="65" t="n">
        <x:v>0</x:v>
      </x:c>
      <x:c r="I43" s="66" t="n">
        <x:f>(F43*Resumo!$C$8)+(G43*Resumo!$C$6*Resumo!$C$8)</x:f>
        <x:v>0</x:v>
      </x:c>
      <x:c r="J43" s="67" t="n">
        <x:v>700</x:v>
      </x:c>
      <x:c r="K43" s="67" t="n">
        <x:v>1600</x:v>
      </x:c>
      <x:c r="L43" s="67" t="str">
        <x:f>IF(OR(I43=0,J43=""),"",I43*J43)</x:f>
      </x:c>
      <x:c r="M43" s="67" t="str">
        <x:f>IF(OR(I43=0,K43=""),"",I43*K43)</x:f>
      </x:c>
      <x:c r="N43" s="68" t="str">
        <x:v>Se necessário</x:v>
      </x:c>
      <x:c r="O43" s="64" t="str"/>
      <x:c r="P43" s="64" t="str">
        <x:v>Usar aparelho existente no piloto; quantidade não entra no total.</x:v>
      </x:c>
    </x:row>
    <x:row r="44" ht="52" customHeight="1">
      <x:c r="A44" s="63" t="str">
        <x:v>E01</x:v>
      </x:c>
      <x:c r="B44" s="64" t="str">
        <x:v>Produção elétrica</x:v>
      </x:c>
      <x:c r="C44" s="64" t="str">
        <x:v>Proteção</x:v>
      </x:c>
      <x:c r="D44" s="64" t="str">
        <x:v>Quadro elétrico DIN e separações</x:v>
      </x:c>
      <x:c r="E44" s="64" t="str">
        <x:v>Material antichama, segregação SELV/rede e espaço de reserva</x:v>
      </x:c>
      <x:c r="F44" s="65" t="n">
        <x:v>0</x:v>
      </x:c>
      <x:c r="G44" s="65" t="n">
        <x:v>1</x:v>
      </x:c>
      <x:c r="H44" s="65" t="n">
        <x:v>0</x:v>
      </x:c>
      <x:c r="I44" s="66" t="n">
        <x:f>F44+(G44*Resumo!$C$6)+(H44*Resumo!$C$6*Resumo!$C$7)</x:f>
        <x:v>1</x:v>
      </x:c>
      <x:c r="J44" s="67"/>
      <x:c r="K44" s="67"/>
      <x:c r="L44" s="67" t="str">
        <x:f>IF(OR(I44=0,J44=""),"",I44*J44)</x:f>
      </x:c>
      <x:c r="M44" s="67" t="str">
        <x:f>IF(OR(I44=0,K44=""),"",I44*K44)</x:f>
      </x:c>
      <x:c r="N44" s="68" t="str">
        <x:v>Dimensionar</x:v>
      </x:c>
      <x:c r="O44" s="64" t="str"/>
      <x:c r="P44" s="64" t="str">
        <x:v>Definir após inspeção do local; não comprar por estimativa.</x:v>
      </x:c>
    </x:row>
    <x:row r="45" ht="52" customHeight="1">
      <x:c r="A45" s="63" t="str">
        <x:v>E02</x:v>
      </x:c>
      <x:c r="B45" s="64" t="str">
        <x:v>Produção elétrica</x:v>
      </x:c>
      <x:c r="C45" s="64" t="str">
        <x:v>Proteção</x:v>
      </x:c>
      <x:c r="D45" s="64" t="str">
        <x:v>Disjuntores, DR e DPS</x:v>
      </x:c>
      <x:c r="E45" s="64" t="str">
        <x:v>Curvas, correntes e capacidade de interrupção conforme projeto</x:v>
      </x:c>
      <x:c r="F45" s="65" t="n">
        <x:v>0</x:v>
      </x:c>
      <x:c r="G45" s="65" t="n">
        <x:v>1</x:v>
      </x:c>
      <x:c r="H45" s="65" t="n">
        <x:v>0</x:v>
      </x:c>
      <x:c r="I45" s="66" t="n">
        <x:f>F45+(G45*Resumo!$C$6)+(H45*Resumo!$C$6*Resumo!$C$7)</x:f>
        <x:v>1</x:v>
      </x:c>
      <x:c r="J45" s="67"/>
      <x:c r="K45" s="67"/>
      <x:c r="L45" s="67" t="str">
        <x:f>IF(OR(I45=0,J45=""),"",I45*J45)</x:f>
      </x:c>
      <x:c r="M45" s="67" t="str">
        <x:f>IF(OR(I45=0,K45=""),"",I45*K45)</x:f>
      </x:c>
      <x:c r="N45" s="68" t="str">
        <x:v>Dimensionar</x:v>
      </x:c>
      <x:c r="O45" s="64" t="str"/>
      <x:c r="P45" s="64" t="str">
        <x:v>Seleção por profissional habilitado e normas aplicáveis.</x:v>
      </x:c>
    </x:row>
    <x:row r="46" ht="52" customHeight="1">
      <x:c r="A46" s="63" t="str">
        <x:v>E03</x:v>
      </x:c>
      <x:c r="B46" s="64" t="str">
        <x:v>Produção elétrica</x:v>
      </x:c>
      <x:c r="C46" s="64" t="str">
        <x:v>Potência</x:v>
      </x:c>
      <x:c r="D46" s="64" t="str">
        <x:v>Contatores/relés de potência por circuito</x:v>
      </x:c>
      <x:c r="E46" s="64" t="str">
        <x:v>Carga, corrente de partida, tensão e categoria de utilização corretas</x:v>
      </x:c>
      <x:c r="F46" s="65" t="n">
        <x:v>0</x:v>
      </x:c>
      <x:c r="G46" s="65" t="n">
        <x:v>1</x:v>
      </x:c>
      <x:c r="H46" s="65" t="n">
        <x:v>0</x:v>
      </x:c>
      <x:c r="I46" s="66" t="n">
        <x:f>F46+(G46*Resumo!$C$6)+(H46*Resumo!$C$6*Resumo!$C$7)</x:f>
        <x:v>1</x:v>
      </x:c>
      <x:c r="J46" s="67"/>
      <x:c r="K46" s="67"/>
      <x:c r="L46" s="67" t="str">
        <x:f>IF(OR(I46=0,J46=""),"",I46*J46)</x:f>
      </x:c>
      <x:c r="M46" s="67" t="str">
        <x:f>IF(OR(I46=0,K46=""),"",I46*K46)</x:f>
      </x:c>
      <x:c r="N46" s="68" t="str">
        <x:v>Dimensionar</x:v>
      </x:c>
      <x:c r="O46" s="64" t="str"/>
      <x:c r="P46" s="64" t="str">
        <x:v>Relé Arduino não deve chavear diretamente cargas que excedam sua aplicação segura.</x:v>
      </x:c>
    </x:row>
    <x:row r="47" ht="52" customHeight="1">
      <x:c r="A47" s="63" t="str">
        <x:v>E04</x:v>
      </x:c>
      <x:c r="B47" s="64" t="str">
        <x:v>Produção elétrica</x:v>
      </x:c>
      <x:c r="C47" s="64" t="str">
        <x:v>Cabeamento</x:v>
      </x:c>
      <x:c r="D47" s="64" t="str">
        <x:v>Cabos, eletrodutos, conectores e aterramento</x:v>
      </x:c>
      <x:c r="E47" s="64" t="str">
        <x:v>Bitola, isolação e método de instalação conforme carga e trajeto</x:v>
      </x:c>
      <x:c r="F47" s="65" t="n">
        <x:v>0</x:v>
      </x:c>
      <x:c r="G47" s="65" t="n">
        <x:v>1</x:v>
      </x:c>
      <x:c r="H47" s="65" t="n">
        <x:v>0</x:v>
      </x:c>
      <x:c r="I47" s="66" t="n">
        <x:f>F47+(G47*Resumo!$C$6)+(H47*Resumo!$C$6*Resumo!$C$7)</x:f>
        <x:v>1</x:v>
      </x:c>
      <x:c r="J47" s="67"/>
      <x:c r="K47" s="67"/>
      <x:c r="L47" s="67" t="str">
        <x:f>IF(OR(I47=0,J47=""),"",I47*J47)</x:f>
      </x:c>
      <x:c r="M47" s="67" t="str">
        <x:f>IF(OR(I47=0,K47=""),"",I47*K47)</x:f>
      </x:c>
      <x:c r="N47" s="68" t="str">
        <x:v>Dimensionar</x:v>
      </x:c>
      <x:c r="O47" s="64" t="str"/>
      <x:c r="P47" s="64" t="str">
        <x:v>Levantamento individual de iluminação, tomadas e demais circuitos.</x:v>
      </x:c>
    </x:row>
    <x:row r="48" ht="52" customHeight="1">
      <x:c r="A48" s="63" t="str">
        <x:v>E05</x:v>
      </x:c>
      <x:c r="B48" s="64" t="str">
        <x:v>Produção elétrica</x:v>
      </x:c>
      <x:c r="C48" s="64" t="str">
        <x:v>Serviço</x:v>
      </x:c>
      <x:c r="D48" s="64" t="str">
        <x:v>Projeto, montagem e ensaios elétricos</x:v>
      </x:c>
      <x:c r="E48" s="64" t="str">
        <x:v>Profissional habilitado; documentação e identificação do quadro</x:v>
      </x:c>
      <x:c r="F48" s="65" t="n">
        <x:v>0</x:v>
      </x:c>
      <x:c r="G48" s="65" t="n">
        <x:v>1</x:v>
      </x:c>
      <x:c r="H48" s="65" t="n">
        <x:v>0</x:v>
      </x:c>
      <x:c r="I48" s="66" t="n">
        <x:f>F48+(G48*Resumo!$C$6)+(H48*Resumo!$C$6*Resumo!$C$7)</x:f>
        <x:v>1</x:v>
      </x:c>
      <x:c r="J48" s="67"/>
      <x:c r="K48" s="67"/>
      <x:c r="L48" s="67" t="str">
        <x:f>IF(OR(I48=0,J48=""),"",I48*J48)</x:f>
      </x:c>
      <x:c r="M48" s="67" t="str">
        <x:f>IF(OR(I48=0,K48=""),"",I48*K48)</x:f>
      </x:c>
      <x:c r="N48" s="68" t="str">
        <x:v>Obrigatório</x:v>
      </x:c>
      <x:c r="O48" s="64" t="str"/>
      <x:c r="P48" s="64" t="str">
        <x:v>Inclui teste de isolamento, proteção, aterramento e funcionamento.</x:v>
      </x:c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</x:sheetData>
  <x:mergeCells>
    <x:mergeCell ref="A1:P2"/>
    <x:mergeCell ref="A3:P3"/>
  </x:mergeCells>
  <x:conditionalFormatting sqref="A6:P48">
    <x:cfRule type="containsText" dxfId="0" priority="1" operator="containsText" text="Dimensionar"/>
  </x:conditionalFormatting>
  <x:conditionalFormatting sqref="N6:N48">
    <x:cfRule type="containsText" dxfId="1" priority="2" operator="containsText" text="Essencial"/>
    <x:cfRule type="containsText" dxfId="2" priority="3" operator="containsText" text="Sob demand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F444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50" hidden="0" customWidth="1"/>
    <x:col min="3" max="3" width="40" hidden="0" customWidth="1"/>
    <x:col min="4" max="4" width="16" hidden="0" customWidth="1"/>
    <x:col min="5" max="5" width="34" hidden="0" customWidth="1"/>
    <x:col min="6" max="6" width="38" hidden="0" customWidth="1"/>
  </x:cols>
  <x:sheetData>
    <x:row r="1">
      <x:c r="A1" s="52" t="str">
        <x:v>FONTES, LIMITES E REGRAS DE COMPRA</x:v>
      </x:c>
      <x:c r="B1" s="52"/>
      <x:c r="C1" s="52"/>
      <x:c r="D1" s="52"/>
      <x:c r="E1" s="52"/>
      <x:c r="F1" s="52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52"/>
      <x:c r="B2" s="52"/>
      <x:c r="C2" s="52"/>
      <x:c r="D2" s="52"/>
      <x:c r="E2" s="52"/>
      <x:c r="F2" s="52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69" t="str">
        <x:v>Assunto</x:v>
      </x:c>
      <x:c r="B4" s="69" t="str">
        <x:v>Fonte</x:v>
      </x:c>
      <x:c r="C4" s="69" t="str">
        <x:v>O que confirma</x:v>
      </x:c>
      <x:c r="D4" s="69" t="str">
        <x:v>Data da consulta</x:v>
      </x:c>
      <x:c r="E4" s="69" t="str">
        <x:v>Aplicação no projeto</x:v>
      </x:c>
      <x:c r="F4" s="69" t="str">
        <x:v>Observação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54" customHeight="1">
      <x:c r="A5" s="27" t="str">
        <x:v>Raspberry Pi 5</x:v>
      </x:c>
      <x:c r="B5" s="27" t="str">
        <x:v>https://www.raspberrypi.com/products/raspberry-pi-5/</x:v>
      </x:c>
      <x:c r="C5" s="27" t="str">
        <x:v>Wi‑Fi, Bluetooth 5, Ethernet, USB, GPIO e requisitos gerais</x:v>
      </x:c>
      <x:c r="D5" s="27" t="str">
        <x:v>12/10/2026</x:v>
      </x:c>
      <x:c r="E5" s="27" t="str">
        <x:v>Central do quarto e pareamento Bluetooth</x:v>
      </x:c>
      <x:c r="F5" s="27" t="str">
        <x:v>Usar Raspberry Pi OS compatível e refrigeração ativa.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54" customHeight="1">
      <x:c r="A6" s="27" t="str">
        <x:v>Fonte do Raspberry Pi</x:v>
      </x:c>
      <x:c r="B6" s="27" t="str">
        <x:v>https://www.raspberrypi.com/documentation/computers/getting-started.html</x:v>
      </x:c>
      <x:c r="C6" s="27" t="str">
        <x:v>Recomendação de 5 V/5 A e fonte USB‑C de 27 W</x:v>
      </x:c>
      <x:c r="D6" s="27" t="str">
        <x:v>12/10/2026</x:v>
      </x:c>
      <x:c r="E6" s="27" t="str">
        <x:v>Alimentação estável da central</x:v>
      </x:c>
      <x:c r="F6" s="27" t="str">
        <x:v>Fonte 5 V/3 A limita periféricos USB a 600 mA.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54" customHeight="1">
      <x:c r="A7" s="27" t="str">
        <x:v>Arduino Mega 2560</x:v>
      </x:c>
      <x:c r="B7" s="27" t="str">
        <x:v>https://docs.arduino.cc/hardware/mega-2560</x:v>
      </x:c>
      <x:c r="C7" s="27" t="str">
        <x:v>54 digitais, 15 PWM e 4 UARTs</x:v>
      </x:c>
      <x:c r="D7" s="27" t="str">
        <x:v>12/10/2026</x:v>
      </x:c>
      <x:c r="E7" s="27" t="str">
        <x:v>16 relés, sensores, RGB e infravermelho</x:v>
      </x:c>
      <x:c r="F7" s="27" t="str">
        <x:v>Compatível com o firmware entregue.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54" customHeight="1">
      <x:c r="A8" s="27" t="str">
        <x:v>Tela de 7 polegadas</x:v>
      </x:c>
      <x:c r="B8" s="27" t="str">
        <x:v>https://www.raspberrypi.com/products/touch-display-2/</x:v>
      </x:c>
      <x:c r="C8" s="27" t="str">
        <x:v>Touch Display 2 e interface DSI</x:v>
      </x:c>
      <x:c r="D8" s="27" t="str">
        <x:v>12/10/2026</x:v>
      </x:c>
      <x:c r="E8" s="27" t="str">
        <x:v>Painel tátil do hóspede</x:v>
      </x:c>
      <x:c r="F8" s="27" t="str">
        <x:v>Confirmar cabos e moldura para Pi 5.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54" customHeight="1">
      <x:c r="A9" s="27" t="str">
        <x:v>Relé de 8 canais</x:v>
      </x:c>
      <x:c r="B9" s="27" t="str">
        <x:v>https://www.eletrogate.com/modulo-rele-8-canais-5v</x:v>
      </x:c>
      <x:c r="C9" s="27" t="str">
        <x:v>Módulo 5 V optoacoplado e contatos nominais</x:v>
      </x:c>
      <x:c r="D9" s="27" t="str">
        <x:v>12/10/2026</x:v>
      </x:c>
      <x:c r="E9" s="27" t="str">
        <x:v>Relé principal e expansão</x:v>
      </x:c>
      <x:c r="F9" s="27" t="str">
        <x:v>A carga real define contator, proteção e cabeamento.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54" customHeight="1">
      <x:c r="A10" s="27" t="str">
        <x:v>Sensor de porta</x:v>
      </x:c>
      <x:c r="B10" s="27" t="str">
        <x:v>https://www.eletrogate.com/sensor-magnetico-mc-38</x:v>
      </x:c>
      <x:c r="C10" s="27" t="str">
        <x:v>Contato seco e distância típica de atuação</x:v>
      </x:c>
      <x:c r="D10" s="27" t="str">
        <x:v>12/10/2026</x:v>
      </x:c>
      <x:c r="E10" s="27" t="str">
        <x:v>Detectar abertura da porta</x:v>
      </x:c>
      <x:c r="F10" s="27" t="str">
        <x:v>Testar alinhamento e lógica no quarto piloto.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54" customHeight="1">
      <x:c r="A11" s="27" t="str">
        <x:v>Amplificador PAM8610</x:v>
      </x:c>
      <x:c r="B11" s="27" t="str">
        <x:v>https://www.eletrogate.com/placa-pam-pam8610-15w-15w-2-canais</x:v>
      </x:c>
      <x:c r="C11" s="27" t="str">
        <x:v>2 × 15 W, 7–15 V, caixas 4–8 Ω</x:v>
      </x:c>
      <x:c r="D11" s="27" t="str">
        <x:v>12/10/2026</x:v>
      </x:c>
      <x:c r="E11" s="27" t="str">
        <x:v>Som do quarto via Bluetooth do Raspberry Pi</x:v>
      </x:c>
      <x:c r="F11" s="27" t="str">
        <x:v>Fonte dedicada reduz ruído.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54" customHeight="1">
      <x:c r="A12" s="27" t="str">
        <x:v>Fita RGB</x:v>
      </x:c>
      <x:c r="B12" s="27" t="str">
        <x:v>https://blog.eletrogate.com/controlando-fitas-de-led-rgb-com-o-arduino-parte-1/</x:v>
      </x:c>
      <x:c r="C12" s="27" t="str">
        <x:v>Uso de estágio de potência e fonte externa</x:v>
      </x:c>
      <x:c r="D12" s="27" t="str">
        <x:v>12/10/2026</x:v>
      </x:c>
      <x:c r="E12" s="27" t="str">
        <x:v>Iluminação decorativa RGB</x:v>
      </x:c>
      <x:c r="F12" s="27" t="str">
        <x:v>Dimensionar por W/m e usar MOSFETs.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>
      <x:c r="A13" s="27"/>
      <x:c r="B13" s="27"/>
      <x:c r="C13" s="27"/>
      <x:c r="D13" s="27"/>
      <x:c r="E13" s="27"/>
      <x:c r="F13" s="27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>
      <x:c r="A14" s="71" t="str">
        <x:v>REGRAS QUE DEVEM SER CUMPRIDAS ANTES DA INSTALAÇÃO</x:v>
      </x:c>
      <x:c r="B14" s="71"/>
      <x:c r="C14" s="71"/>
      <x:c r="D14" s="71"/>
      <x:c r="E14" s="71"/>
      <x:c r="F14" s="7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38" customHeight="1">
      <x:c r="A15" s="72" t="str">
        <x:v>1</x:v>
      </x:c>
      <x:c r="B15" s="27" t="str">
        <x:v>Levantar tensão, corrente, potência e corrente de partida de cada circuito.</x:v>
      </x:c>
      <x:c r="C15" s="27"/>
      <x:c r="D15" s="27"/>
      <x:c r="E15" s="27"/>
      <x:c r="F15" s="27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38" customHeight="1">
      <x:c r="A16" s="72" t="str">
        <x:v>2</x:v>
      </x:c>
      <x:c r="B16" s="27" t="str">
        <x:v>Usar TV e ar-condicionado por infravermelho; não chavear compressor com módulo relé genérico.</x:v>
      </x:c>
      <x:c r="C16" s="27"/>
      <x:c r="D16" s="27"/>
      <x:c r="E16" s="27"/>
      <x:c r="F16" s="27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38" customHeight="1">
      <x:c r="A17" s="72" t="str">
        <x:v>3</x:v>
      </x:c>
      <x:c r="B17" s="27" t="str">
        <x:v>Separar fisicamente baixa tensão da rede elétrica e manter aterramento/proteções adequados.</x:v>
      </x:c>
      <x:c r="C17" s="27"/>
      <x:c r="D17" s="27"/>
      <x:c r="E17" s="27"/>
      <x:c r="F17" s="27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38" customHeight="1">
      <x:c r="A18" s="72" t="str">
        <x:v>4</x:v>
      </x:c>
      <x:c r="B18" s="27" t="str">
        <x:v>Contratar profissional habilitado para quadro, cabos, disjuntores, DR, DPS e contatores.</x:v>
      </x:c>
      <x:c r="C18" s="27"/>
      <x:c r="D18" s="27"/>
      <x:c r="E18" s="27"/>
      <x:c r="F18" s="27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38" customHeight="1">
      <x:c r="A19" s="72" t="str">
        <x:v>5</x:v>
      </x:c>
      <x:c r="B19" s="27" t="str">
        <x:v>Validar todos os códigos infravermelhos, o áudio Bluetooth e a recuperação após falta de energia no piloto.</x:v>
      </x:c>
      <x:c r="C19" s="27"/>
      <x:c r="D19" s="27"/>
      <x:c r="E19" s="27"/>
      <x:c r="F19" s="27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38" customHeight="1">
      <x:c r="A20" s="72" t="str">
        <x:v>6</x:v>
      </x:c>
      <x:c r="B20" s="27" t="str">
        <x:v>Só replicar para outros quartos após ensaio contínuo do quarto piloto e registro das alterações.</x:v>
      </x:c>
      <x:c r="C20" s="27"/>
      <x:c r="D20" s="27"/>
      <x:c r="E20" s="27"/>
      <x:c r="F20" s="27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</x:row>
  </x:sheetData>
  <x:mergeCells>
    <x:mergeCell ref="A1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